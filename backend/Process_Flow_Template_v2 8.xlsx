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dutta\Work\Work Projects\Inzio\OTC process\backend\"/>
    </mc:Choice>
  </mc:AlternateContent>
  <xr:revisionPtr revIDLastSave="0" documentId="8_{80C2E160-98E6-4807-8B26-C4E0424BF509}" xr6:coauthVersionLast="47" xr6:coauthVersionMax="47" xr10:uidLastSave="{00000000-0000-0000-0000-000000000000}"/>
  <bookViews>
    <workbookView xWindow="-110" yWindow="-110" windowWidth="19420" windowHeight="11500" tabRatio="843" activeTab="1" xr2:uid="{00000000-000D-0000-FFFF-FFFF00000000}"/>
  </bookViews>
  <sheets>
    <sheet name="OTC Data Elements" sheetId="10" r:id="rId1"/>
    <sheet name="Process Design" sheetId="5" r:id="rId2"/>
  </sheets>
  <definedNames>
    <definedName name="_xlnm._FilterDatabase" localSheetId="1" hidden="1">'Process Design'!$D$5:$Z$423</definedName>
    <definedName name="_UNDO_UPS_" hidden="1">'Process Design'!#REF!</definedName>
    <definedName name="_UNDO_UPS_SEL_" hidden="1">'Process Design'!#REF!</definedName>
    <definedName name="_UNDO31X31X_" hidden="1">'Process Design'!#REF!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4" i="5" l="1"/>
  <c r="H320" i="5"/>
  <c r="G299" i="5"/>
  <c r="G212" i="5"/>
  <c r="G213" i="5"/>
  <c r="H303" i="5"/>
  <c r="H298" i="5"/>
  <c r="H245" i="5" l="1"/>
  <c r="H145" i="5"/>
  <c r="H32" i="5"/>
  <c r="H89" i="5"/>
  <c r="G88" i="5"/>
  <c r="G73" i="5"/>
  <c r="G55" i="5"/>
  <c r="H48" i="5"/>
  <c r="H45" i="5"/>
  <c r="H14" i="5"/>
  <c r="H116" i="5"/>
  <c r="H374" i="5"/>
  <c r="H360" i="5"/>
  <c r="H342" i="5"/>
  <c r="H233" i="5"/>
  <c r="H216" i="5"/>
  <c r="H199" i="5"/>
  <c r="H195" i="5"/>
  <c r="H192" i="5"/>
  <c r="H183" i="5"/>
  <c r="H171" i="5"/>
  <c r="H166" i="5"/>
  <c r="H163" i="5"/>
  <c r="H160" i="5"/>
  <c r="H96" i="5"/>
  <c r="H91" i="5"/>
  <c r="H83" i="5"/>
  <c r="H65" i="5"/>
  <c r="H56" i="5"/>
  <c r="H39" i="5"/>
  <c r="H18" i="5"/>
  <c r="H71" i="5"/>
  <c r="H308" i="5"/>
  <c r="H275" i="5"/>
  <c r="H27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tc={222022D2-4A74-46F4-9DBA-7649A59A6A06}</author>
  </authors>
  <commentList>
    <comment ref="H96" authorId="0" shapeId="0" xr:uid="{222022D2-4A74-46F4-9DBA-7649A59A6A06}">
      <text>
        <t>[Threaded comment]
Your version of Excel allows you to read this threaded comment; however, any edits to it will get removed if the file is opened in a newer version of Excel. Learn more: https://go.microsoft.com/fwlink/?linkid=870924
Comment:
    I’ve linked Yes to the next step - not sure where to link no to?
Reply:
    Updated</t>
      </text>
    </comment>
  </commentList>
</comments>
</file>

<file path=xl/sharedStrings.xml><?xml version="1.0" encoding="utf-8"?>
<sst xmlns="http://schemas.openxmlformats.org/spreadsheetml/2006/main" count="5822" uniqueCount="2101">
  <si>
    <t>L1</t>
  </si>
  <si>
    <t>L2</t>
  </si>
  <si>
    <t>L3</t>
  </si>
  <si>
    <t>L4</t>
  </si>
  <si>
    <t>Start</t>
  </si>
  <si>
    <t>Process</t>
  </si>
  <si>
    <t>x</t>
  </si>
  <si>
    <t>y</t>
  </si>
  <si>
    <t>Level
(L1-L4)</t>
  </si>
  <si>
    <t>Step
Number</t>
  </si>
  <si>
    <t>Step Name</t>
  </si>
  <si>
    <t>Step Description</t>
  </si>
  <si>
    <t>Step Type</t>
  </si>
  <si>
    <t>System / Tool</t>
  </si>
  <si>
    <t>Project</t>
  </si>
  <si>
    <t>Level</t>
  </si>
  <si>
    <t>Seq #</t>
  </si>
  <si>
    <t>Description</t>
  </si>
  <si>
    <t>Shape Type</t>
  </si>
  <si>
    <t>As-Is Owner</t>
  </si>
  <si>
    <t>Responsible (R)</t>
  </si>
  <si>
    <t>Accountable (A)</t>
  </si>
  <si>
    <t>Contributing (I)</t>
  </si>
  <si>
    <t>1</t>
  </si>
  <si>
    <t>Order Capture</t>
  </si>
  <si>
    <t>End-to-end stage covering all activities from initial client engagement through to project activation and budget establishment.</t>
  </si>
  <si>
    <t>1.1</t>
  </si>
  <si>
    <t>Establish the client record, negotiate and execute the master services agreement, set up the client portal, and configure entitlements.</t>
  </si>
  <si>
    <t>Ops. / Div. Finance</t>
  </si>
  <si>
    <t>Operations</t>
  </si>
  <si>
    <t>1.1.1</t>
  </si>
  <si>
    <t>Customer Initiation</t>
  </si>
  <si>
    <t xml:space="preserve">Receive new client / opportunity trigger from Sales/Business Development. Capture preliminary customer details (name, region, industry) </t>
  </si>
  <si>
    <t>Sales</t>
  </si>
  <si>
    <t>CRM</t>
  </si>
  <si>
    <t>X</t>
  </si>
  <si>
    <t>1.1.2</t>
  </si>
  <si>
    <t>Customer Master Data Creation &amp; Hierarchy Setup</t>
  </si>
  <si>
    <t>Global Master Data</t>
  </si>
  <si>
    <t>1.1.3</t>
  </si>
  <si>
    <t>Credit &amp; Compliance Screening</t>
  </si>
  <si>
    <t>Perform credit check (incl. credit holds) / financial due diligence. Conduct compliance checks. Assign provisional payment terms and risk rating</t>
  </si>
  <si>
    <t>GFS - Credit</t>
  </si>
  <si>
    <t>ERP</t>
  </si>
  <si>
    <t>1.1.4</t>
  </si>
  <si>
    <t>Master Services Agreement (MSA) management</t>
  </si>
  <si>
    <t>Check for existing MSA and validate applicability. Draft MSA (if required) using standard templates.  Negotiate legal and high-level commercial terms. Execute agreement (signatures). Store in contract repository and link to customer record</t>
  </si>
  <si>
    <t>Legal</t>
  </si>
  <si>
    <t>CLM</t>
  </si>
  <si>
    <t>1.1.4.1</t>
  </si>
  <si>
    <t>Select MSA Template</t>
  </si>
  <si>
    <t>1.1.4.2</t>
  </si>
  <si>
    <t>Populate High-level Commercial Terms</t>
  </si>
  <si>
    <t>1.1.4.3</t>
  </si>
  <si>
    <t>L5</t>
  </si>
  <si>
    <t>1.1.4.4</t>
  </si>
  <si>
    <t>1.1.4.5</t>
  </si>
  <si>
    <t>Send Contract to Client</t>
  </si>
  <si>
    <t>1.1.4.6</t>
  </si>
  <si>
    <t>Client Reviews &amp; Signs Contract</t>
  </si>
  <si>
    <t>Client (external)</t>
  </si>
  <si>
    <t>Contract Fully Executed?</t>
  </si>
  <si>
    <t>1.2</t>
  </si>
  <si>
    <t>Ops / Div. Finance</t>
  </si>
  <si>
    <t>1.2.1</t>
  </si>
  <si>
    <t>1.2.2</t>
  </si>
  <si>
    <t>Draft SOW</t>
  </si>
  <si>
    <t>Develop scope, deliverables and timelines. Define pricing and commercial terms. Align resourcing and effort with delivery. Generate SOW document</t>
  </si>
  <si>
    <t>1.2.2.1</t>
  </si>
  <si>
    <t>1.2.2.2</t>
  </si>
  <si>
    <t>1.2.2.3</t>
  </si>
  <si>
    <t>Define resourcing and effort requirements to support delivery</t>
  </si>
  <si>
    <t>1.2.2.4</t>
  </si>
  <si>
    <t>1.2.3</t>
  </si>
  <si>
    <t>Send SOW to Client</t>
  </si>
  <si>
    <t>1.2.4</t>
  </si>
  <si>
    <t>1.2.5</t>
  </si>
  <si>
    <t>PO Intake, Validation &amp; Routing</t>
  </si>
  <si>
    <t>Receive purchase order (PO) from client. Validate PO details against SOW (value, scope, entity, dates). Route PO internally for review. Record and link PO to customer / contract</t>
  </si>
  <si>
    <t>GFS</t>
  </si>
  <si>
    <t>Email / Portal / EDI</t>
  </si>
  <si>
    <t>1.2.5.1</t>
  </si>
  <si>
    <t>PO Intake</t>
  </si>
  <si>
    <t>1.2.5.2</t>
  </si>
  <si>
    <t>PO Completeness &amp; Validity Check</t>
  </si>
  <si>
    <t>1.2.5.3</t>
  </si>
  <si>
    <t>PO Alignment to SOW?</t>
  </si>
  <si>
    <t>1.2.5.4</t>
  </si>
  <si>
    <t>1.2.5.5</t>
  </si>
  <si>
    <t>1.2.5.6</t>
  </si>
  <si>
    <t>1.2.6</t>
  </si>
  <si>
    <t>Contract setup / order entry</t>
  </si>
  <si>
    <t>1.3</t>
  </si>
  <si>
    <t>Project Activation &amp; Budgeting</t>
  </si>
  <si>
    <t>Div. Finance</t>
  </si>
  <si>
    <t>Operations
POs: Div. Finance / GFS</t>
  </si>
  <si>
    <t>PSA</t>
  </si>
  <si>
    <t>1.3.1</t>
  </si>
  <si>
    <t>Project initiation</t>
  </si>
  <si>
    <t>1.3.2</t>
  </si>
  <si>
    <t>Project structure setup</t>
  </si>
  <si>
    <t>1.3.3</t>
  </si>
  <si>
    <t>Budget setup</t>
  </si>
  <si>
    <t>1.3.4</t>
  </si>
  <si>
    <t>Initial resourcing alignment</t>
  </si>
  <si>
    <t>Validate roles and capacity assumptions against SOW. Initiate coordination with resource management for staffing requirements</t>
  </si>
  <si>
    <t>1.3.5</t>
  </si>
  <si>
    <t>Time &amp; expense enablement</t>
  </si>
  <si>
    <t>Enable time entry against project. Configure expense policies and categories. Validate billable vs non-billable guidelines. Load and synchronise project codes to expense systems (e.g., Concur)</t>
  </si>
  <si>
    <t>1.3.6</t>
  </si>
  <si>
    <t>1.3.7</t>
  </si>
  <si>
    <t>Project governance &amp; controls setup</t>
  </si>
  <si>
    <t>Define reporting cadence (status, financials). Establish change control process. Define approval matrix (timesheets, expenses, etc.)</t>
  </si>
  <si>
    <t>1.3.8</t>
  </si>
  <si>
    <t>Project activation (go-live)</t>
  </si>
  <si>
    <t>3</t>
  </si>
  <si>
    <t>Service Delivery</t>
  </si>
  <si>
    <t>All operational activities performed during project execution: time capture, expense management, cost allocation and milestone / progress monitoring. Feeds directly into revenue recognition and invoicing.</t>
  </si>
  <si>
    <t>3.1</t>
  </si>
  <si>
    <t>Track Time</t>
  </si>
  <si>
    <t>Capture and approve time worked on projects to enable accurate cost tracking, billing and revenue recognition</t>
  </si>
  <si>
    <t>3.1.1</t>
  </si>
  <si>
    <t>Time Entry Capture</t>
  </si>
  <si>
    <t>3.1.2</t>
  </si>
  <si>
    <t>Timesheet Review &amp; Approval</t>
  </si>
  <si>
    <t>Project Manager (PM) reviews submitted time for accuracy and completeness. Approves or rejects with comments</t>
  </si>
  <si>
    <t>3.1.3</t>
  </si>
  <si>
    <t>PM Approval Decision</t>
  </si>
  <si>
    <t>3.1.4</t>
  </si>
  <si>
    <t>Timesheet Posting &amp; Update</t>
  </si>
  <si>
    <t>Approved timesheet is locked in PSA and actuals are posted to the ERP project ledger. Billable hours are flagged as available for revenue recognition and invoicing runs</t>
  </si>
  <si>
    <t>3.1.5</t>
  </si>
  <si>
    <t>Notify Revenue &amp; Billing Teams</t>
  </si>
  <si>
    <t>PSA triggers automated notification to Revenue Accounting and Billing that approved billable hours are available for the current period rev rec and invoicing cycles</t>
  </si>
  <si>
    <t>3.2</t>
  </si>
  <si>
    <t>Track Expenses</t>
  </si>
  <si>
    <t>Capture, validate and approve project-related expenses incurred by resources. Approved expenses are posted to the project cost ledger and passed to billing for client recharge where contractually permitted.</t>
  </si>
  <si>
    <t>GFS / Div. Finance</t>
  </si>
  <si>
    <t>Concur/ERP</t>
  </si>
  <si>
    <t>3.2.1</t>
  </si>
  <si>
    <t>Expense Capture</t>
  </si>
  <si>
    <t>Concur</t>
  </si>
  <si>
    <t>3.2.2</t>
  </si>
  <si>
    <t>Expense Review &amp; Approval</t>
  </si>
  <si>
    <t>3.2.3</t>
  </si>
  <si>
    <t>3.2.4</t>
  </si>
  <si>
    <t>Post to Project Cost Ledger &amp; Flag for Billing</t>
  </si>
  <si>
    <t>Post approved expenses to the system. Update project financial records. Rechargeable items automatically flagged for inclusion in next client invoice run. Non-rechargeable items posted to internal cost centre</t>
  </si>
  <si>
    <t>3.3</t>
  </si>
  <si>
    <t>Track &amp; Allocate Other Costs</t>
  </si>
  <si>
    <t>Capture and allocate project costs not sourced from timesheets or expense claims (e.g., overheads, sub-contractor invoices, software / tooling licences,  internal shared service allocations, etc.)</t>
  </si>
  <si>
    <t>ERP/PSA</t>
  </si>
  <si>
    <t>3.3.1</t>
  </si>
  <si>
    <t>Cost Identification &amp; Capture</t>
  </si>
  <si>
    <t>Identify other project-related costs (e.g., subcontractors, overhead allocations). Capture cost details from source systems or inputs</t>
  </si>
  <si>
    <t>3.3.2</t>
  </si>
  <si>
    <t>Cost Allocation</t>
  </si>
  <si>
    <t xml:space="preserve">Apply agreed allocation methodology for shared costs (e.g. platform licences, shared tooling, internal IT support) across active projects </t>
  </si>
  <si>
    <t>3.3.3</t>
  </si>
  <si>
    <t>Cost Posting</t>
  </si>
  <si>
    <t>Allocate costs to the appropriate project or activity. Post allocated costs in the ERP to project financials. Update project cost records and enable downstream reporting</t>
  </si>
  <si>
    <t>3.4</t>
  </si>
  <si>
    <t>Milestone &amp; Progress Monitoring</t>
  </si>
  <si>
    <t>Monitor project progress and milestone completion to support delivery tracking, billing triggers and revenue recognition</t>
  </si>
  <si>
    <t>PSA / ERP</t>
  </si>
  <si>
    <t>3.4.1</t>
  </si>
  <si>
    <t>Progress Tracking</t>
  </si>
  <si>
    <t>Track project progress against defined milestones and deliverables. Update task completion status and percentage-complete in PSA. System recalculates forecast-to-complete and estimated completion date.</t>
  </si>
  <si>
    <t>3.4.2</t>
  </si>
  <si>
    <t>Milestone Validation</t>
  </si>
  <si>
    <t>Confirm milestone completion and obtain required approvals or sign-off</t>
  </si>
  <si>
    <t>3.4.2.1</t>
  </si>
  <si>
    <t>Milestone Completion Confirmed?</t>
  </si>
  <si>
    <t>Confirm that milestone deliverables have been completed in line with agreed scope and acceptance criteria</t>
  </si>
  <si>
    <t>3.4.2.2</t>
  </si>
  <si>
    <t>Prepare Milestone Completion Evidence</t>
  </si>
  <si>
    <t>Compile supporting documentation (e.g., deliverables, sign-offs, acceptance records). Ensure evidence is complete and aligned with contractual requirements</t>
  </si>
  <si>
    <t>3.4.2.3</t>
  </si>
  <si>
    <t>Client Acceptance Obtained?</t>
  </si>
  <si>
    <t>Determine whether client has formally accepted milestone deliverables. Capture approval or identify next steps to achieve acceptance</t>
  </si>
  <si>
    <t>3.4.2.4</t>
  </si>
  <si>
    <t>Client Acceptance Confirmation</t>
  </si>
  <si>
    <t>3.4.3</t>
  </si>
  <si>
    <t>Progress &amp; Milestone Update</t>
  </si>
  <si>
    <t>PM marks milestone as complete and accepted in PSA</t>
  </si>
  <si>
    <t>3.4.4</t>
  </si>
  <si>
    <t>Trigger Billing Event</t>
  </si>
  <si>
    <t>System automatically creates billing event and notifies the Billing team to generate the invoice. Updates revenue recognition schedule.</t>
  </si>
  <si>
    <t>4</t>
  </si>
  <si>
    <t>Revenue Recognition</t>
  </si>
  <si>
    <t>All activities to recognise revenue in accordance with revenue recognition rules, posting adjustments and reconcile deferred / accrued balances</t>
  </si>
  <si>
    <t>4.1</t>
  </si>
  <si>
    <t>Revenue Execution &amp; Posting</t>
  </si>
  <si>
    <t>Calculate revenue based on contract terms/milestones and post journal entries to the GL</t>
  </si>
  <si>
    <t>Div. Finance / GFS</t>
  </si>
  <si>
    <t>4.1.1</t>
  </si>
  <si>
    <t>Revenue Recognition Trigger Initiation</t>
  </si>
  <si>
    <t>Trigger revenue recognition cycle (e.g., period-end). Validate alignment with SOW / MSA terms and revenue recognition rules</t>
  </si>
  <si>
    <t>4.1.2</t>
  </si>
  <si>
    <t>Revenue Readiness Validation</t>
  </si>
  <si>
    <t>Confirm required inputs are complete (e.g., approved timesheets, cross-check fixed fee to POC, etc.)</t>
  </si>
  <si>
    <t>4.1.3</t>
  </si>
  <si>
    <t>Exceptions Identified?</t>
  </si>
  <si>
    <t>4.1.4</t>
  </si>
  <si>
    <t>Exception Resolution</t>
  </si>
  <si>
    <t>Resolve identified exceptions</t>
  </si>
  <si>
    <t>4.1.5</t>
  </si>
  <si>
    <t>Revenue Execution (incl. Accruals &amp; Deferrals)</t>
  </si>
  <si>
    <t>4.1.6</t>
  </si>
  <si>
    <t>Journal Entry Preparation &amp; Routing</t>
  </si>
  <si>
    <t>4.1.7</t>
  </si>
  <si>
    <t>Review and approve journal entries in line with financial controls</t>
  </si>
  <si>
    <t>4.1.8</t>
  </si>
  <si>
    <t>Post revenue journal entries to the general ledger. System updates deferred revenue, accrued revenue and unbilled AR balances accordingly</t>
  </si>
  <si>
    <t>4.2</t>
  </si>
  <si>
    <t>Adjustments &amp; True-Ups (e.g. Rebates)</t>
  </si>
  <si>
    <t>Comm. Finance / Div. Finance</t>
  </si>
  <si>
    <t>4.2.1</t>
  </si>
  <si>
    <t>4.2.2</t>
  </si>
  <si>
    <t>4.2.3</t>
  </si>
  <si>
    <t>4.2.6</t>
  </si>
  <si>
    <t>Adjustment Posting</t>
  </si>
  <si>
    <t>Post adjustment or true-up journal entries to the general ledger. Update project and financial records accordingly. Systematic update to revenue forecast.</t>
  </si>
  <si>
    <t>5</t>
  </si>
  <si>
    <t>Invoicing &amp; Billing</t>
  </si>
  <si>
    <t>5.1</t>
  </si>
  <si>
    <t>Invoice Preparation &amp; Internal Review (incl. Billing on Behalf)</t>
  </si>
  <si>
    <t>GFS
(RP/STEM transitioning to GFS)</t>
  </si>
  <si>
    <t>5.1.1</t>
  </si>
  <si>
    <t>Invoice Trigger Initiated</t>
  </si>
  <si>
    <t>5.1.2</t>
  </si>
  <si>
    <t>5.1.3</t>
  </si>
  <si>
    <t>Mismatch Identified?</t>
  </si>
  <si>
    <t>5.1.4</t>
  </si>
  <si>
    <t>Mismatch Resolution</t>
  </si>
  <si>
    <t>5.1.5</t>
  </si>
  <si>
    <t>5.1.6</t>
  </si>
  <si>
    <t>Invoice Preparation</t>
  </si>
  <si>
    <t>5.1.7</t>
  </si>
  <si>
    <t>5.1.8</t>
  </si>
  <si>
    <t>5.2</t>
  </si>
  <si>
    <t>Client Review &amp; Approval</t>
  </si>
  <si>
    <t>Facilitate client review of draft invoice, resolve queries and obtain approval</t>
  </si>
  <si>
    <t>GFS / Operations</t>
  </si>
  <si>
    <t>ERP / Client Portal / Email</t>
  </si>
  <si>
    <t>5.2.1</t>
  </si>
  <si>
    <t>5.2.2</t>
  </si>
  <si>
    <t>Client Query Raised?</t>
  </si>
  <si>
    <t>5.2.3</t>
  </si>
  <si>
    <t>Client Query Resolution</t>
  </si>
  <si>
    <t>Address client queries or disputes. Provide supporting documentation or revise invoice as required</t>
  </si>
  <si>
    <t>5.2.4</t>
  </si>
  <si>
    <t>Client Approval</t>
  </si>
  <si>
    <t>5.3</t>
  </si>
  <si>
    <t>Execution &amp; Submission</t>
  </si>
  <si>
    <t>Finalise and issue invoice, post accounts receivable and update billing records to enable tracking and collection</t>
  </si>
  <si>
    <t>5.3.1</t>
  </si>
  <si>
    <t>Finalise Invoice</t>
  </si>
  <si>
    <t>5.3.2</t>
  </si>
  <si>
    <t>Invoice Submission to Client</t>
  </si>
  <si>
    <t>5.3.3</t>
  </si>
  <si>
    <t>Reconciliation</t>
  </si>
  <si>
    <t>Perform billing reconciliations (e.g., from parent billing level to sub-project level, from central billing level to project-level by division)</t>
  </si>
  <si>
    <t>6</t>
  </si>
  <si>
    <t>Collections</t>
  </si>
  <si>
    <t>All activities to collect outstanding AR, manage overdue accounts, reconcile receipts, and forecast cash</t>
  </si>
  <si>
    <t>6.1</t>
  </si>
  <si>
    <t>Reconciliation &amp; Analysis</t>
  </si>
  <si>
    <t>Maintain an accurate, up-to-date AR ledger. Reconcile cash receipts to invoices, identify unapplied cash, and produce aging analysis for management review</t>
  </si>
  <si>
    <t>GFS - US/UK/Ire/Can
Div. Finance (RoW)</t>
  </si>
  <si>
    <t>6.1.1</t>
  </si>
  <si>
    <t>Run AR Aging Report</t>
  </si>
  <si>
    <t>Generate aging report from ERP and identify outstanding balances by client, due date, and days overdue</t>
  </si>
  <si>
    <t>6.1.2</t>
  </si>
  <si>
    <t>Apply Cash Receipts</t>
  </si>
  <si>
    <t>Match and apply incoming payments to invoices in ERP</t>
  </si>
  <si>
    <t>6.1.3</t>
  </si>
  <si>
    <t>Unapplied / Unallocated Cash Identified?</t>
  </si>
  <si>
    <t>6.1.4</t>
  </si>
  <si>
    <t>Investigate &amp; Resolve Unallocated Cash</t>
  </si>
  <si>
    <t>Investigate any short payments, overpayments or unallocated cash. Resolve discrepancies, disputes or allocation issues. Apply or refund as appropriate. Document resolution in ERP.</t>
  </si>
  <si>
    <t>6.1.5</t>
  </si>
  <si>
    <t>AR Reconciliation</t>
  </si>
  <si>
    <t xml:space="preserve">Reconcile AR subledger to GL and confirm balances. Identify and resolve any differences. </t>
  </si>
  <si>
    <t>6.2</t>
  </si>
  <si>
    <t>Outreach &amp; Escalation</t>
  </si>
  <si>
    <t>Proactive and structured client outreach for invoices approaching or past due date. Manage escalations to resolve issues and secure payment</t>
  </si>
  <si>
    <t>ERP /  Email</t>
  </si>
  <si>
    <t>6.2.1</t>
  </si>
  <si>
    <t>Overdue Identification &amp; Prioritisation</t>
  </si>
  <si>
    <t>Identify overdue receivables based on aging and payment terms. Prioritise accounts for collections outreach based on value, risk and aging</t>
  </si>
  <si>
    <t>6.2.2</t>
  </si>
  <si>
    <t>Collections Outreach</t>
  </si>
  <si>
    <t>Contact clients regarding overdue invoices (e.g., reminders, follow-ups)</t>
  </si>
  <si>
    <t>ERP / Email</t>
  </si>
  <si>
    <t>6.2.3</t>
  </si>
  <si>
    <t>Dispute Identified?</t>
  </si>
  <si>
    <t>Determine whether a dispute or billing query has been raised by the client</t>
  </si>
  <si>
    <t>6.2.4</t>
  </si>
  <si>
    <t>Dispute Management &amp; Resolution</t>
  </si>
  <si>
    <t>Investigate and resolve billing disputes</t>
  </si>
  <si>
    <t>6.2.5</t>
  </si>
  <si>
    <t>Escalation Management</t>
  </si>
  <si>
    <t>Escalate overdue or high-risk receivables internally where required</t>
  </si>
  <si>
    <t>6.2.6</t>
  </si>
  <si>
    <t>Payment Commitment Tracking</t>
  </si>
  <si>
    <t>Record and monitor client payment commitments</t>
  </si>
  <si>
    <t>6.2.7</t>
  </si>
  <si>
    <t>Place Account on Credit Hold?</t>
  </si>
  <si>
    <t>Determine whether to suspend further project delivery or invoicing pending payment</t>
  </si>
  <si>
    <t>6.2.8</t>
  </si>
  <si>
    <t>Implement Credit Hold &amp; Notify Teams</t>
  </si>
  <si>
    <t>Apply credit hold in ERP. Pause project activations and new order acceptance until resolved. Notify internal stakeholders (Operations, Finance)</t>
  </si>
  <si>
    <t>6.3</t>
  </si>
  <si>
    <t>Cash Forecasting</t>
  </si>
  <si>
    <t>Forecast expected cash collections based on receivables, payment behavior, and client commitments</t>
  </si>
  <si>
    <t>6.3.1</t>
  </si>
  <si>
    <t>Forecast Update</t>
  </si>
  <si>
    <t>Refresh cash forecast with expected cash inflows based on outstanding receivables, aging and payment terms</t>
  </si>
  <si>
    <t>6.3.2</t>
  </si>
  <si>
    <t>Variance Analysis vs Prior Forecast</t>
  </si>
  <si>
    <t>Compare actual cash receipts to prior forecast. Identify and explain material variances</t>
  </si>
  <si>
    <t>6.3.3</t>
  </si>
  <si>
    <t>Forecast Reporting</t>
  </si>
  <si>
    <t>Prepare and present weekly cash forecast pack to central Finance. Include AR aging summary, collection risk flags and updated 13-week forecast</t>
  </si>
  <si>
    <t>Invoice</t>
  </si>
  <si>
    <t>Project Manager</t>
  </si>
  <si>
    <t>1.1.2.1</t>
  </si>
  <si>
    <t>1.1.2.2</t>
  </si>
  <si>
    <t>1.1.2.3</t>
  </si>
  <si>
    <t>1.1.2.4</t>
  </si>
  <si>
    <t>1.1.2.5</t>
  </si>
  <si>
    <t>Customer &amp; Contract Setup (incl. portal setup)</t>
  </si>
  <si>
    <t>1.1.1.1</t>
  </si>
  <si>
    <t>1.1.1.2</t>
  </si>
  <si>
    <t>Opportunity Created in HubSpot</t>
  </si>
  <si>
    <t>Convert the prospect to a HubSpot Deal. Populate deal name, estimated value, engagement type (T&amp;M / Fixed Fee / Retainer), expected close date and pipeline stage. Assign deal owner and deal split. Complete initial qualification checklist (budget, authority, need, timeline) to confirm pursuit</t>
  </si>
  <si>
    <t>1.1.1.3</t>
  </si>
  <si>
    <t>Client Services</t>
  </si>
  <si>
    <t>Submit Request to Global Master Data Team</t>
  </si>
  <si>
    <t>Create customer record in CRM/ERP (e.g., legal entity name, billing address, VAT number, etc.). Perform duplicate check. Assign customer ID and account owner. Define parent/child relationships if applicable (e.g., billing entity). Link back to prospect opportunity in HubSpot</t>
  </si>
  <si>
    <t>1.1.1.4</t>
  </si>
  <si>
    <t>AI Agent?</t>
  </si>
  <si>
    <t>Log Prospect in HubSpot &amp; Create HubSpot Customer Record</t>
  </si>
  <si>
    <t>Advance Prospect Through Deal Stages</t>
  </si>
  <si>
    <t>Create a new Contact and Company record in HubSpot. Capture preliminary details (client name, region, service line, deal scope). Duplicate detection rule runs automatically on save. If a matching Customer record exists in HubSpot, the user is prompted to merge or link the entry</t>
  </si>
  <si>
    <t>1.1.1.5</t>
  </si>
  <si>
    <t>HubSpot Workflow automatically opens a ServiceNow ticket to the Global Master Data team without any action from the end user. The ticket is pre-populated with all client fields already captured in HubSpot</t>
  </si>
  <si>
    <t>Is Client Services Input Required to Complete Missing Fields?</t>
  </si>
  <si>
    <t>Customer Already Exists in ERP?</t>
  </si>
  <si>
    <t>Determine whether Client Services is required to fill out missing Customer data fields</t>
  </si>
  <si>
    <t>1.1.2.6</t>
  </si>
  <si>
    <t>Request for Supplementary Information</t>
  </si>
  <si>
    <t>Obtain &amp; Populate Missing Information for Customer Record</t>
  </si>
  <si>
    <t>Client Services reaches out to Customer for missing information, completes the task directly within ServiceNow (or via a linked HubSpot task if the ServiceNow–HubSpot integration is active) and submits</t>
  </si>
  <si>
    <t>MDM Ticket Review &amp; Record Creation</t>
  </si>
  <si>
    <t>1.1.2.7</t>
  </si>
  <si>
    <t>Notification of Client Record Update in HubSpot</t>
  </si>
  <si>
    <t>Automated?</t>
  </si>
  <si>
    <t>Y</t>
  </si>
  <si>
    <t xml:space="preserve">ServiceNow ticket is routed with client fields pre-populated from HubSpot, to be reviewed for accuracy/completeness. Identify which ERP-specific fields can be completed independently (e.g., internal segmentation codes) and which require commercial input from Client Services </t>
  </si>
  <si>
    <t>Partial</t>
  </si>
  <si>
    <t>Y/N/Partial</t>
  </si>
  <si>
    <t>N</t>
  </si>
  <si>
    <t>Automated</t>
  </si>
  <si>
    <t>MDM initiates request for supplementary information via a structured follow-up task in the ServiceNow ticket, and is routed to Client Services for action</t>
  </si>
  <si>
    <t>ServiceNow ticket is automatically closed upon record creation. Ticket closure triggers an automated write-back of the Oracle/Maconomy Customer ID to the HubSpot Company record via the ServiceNow–HubSpot integration</t>
  </si>
  <si>
    <t>Ticket Closure &amp; Customer ID Write-back</t>
  </si>
  <si>
    <t>MDM team is notified automatically on submission and proceeds to Oracle/Maconomy record creation</t>
  </si>
  <si>
    <t>1.1.3.1</t>
  </si>
  <si>
    <t>Compliance Screening</t>
  </si>
  <si>
    <t>Perform regulatory and policy checks including sanctions, AML, watchlist, etc. to ensure the relationship is permissible before extending credit.</t>
  </si>
  <si>
    <t>1.1.3.2</t>
  </si>
  <si>
    <t>Credit Assessment</t>
  </si>
  <si>
    <t>Review the prospective customer’s financial standing using payment history, trade references, credit bureau data, financial statements and existing exposure to evaluate overall creditworthiness</t>
  </si>
  <si>
    <t>Apply defined scoring models or risk rules to convert assessment inputs into a standardised credit risk score</t>
  </si>
  <si>
    <t>1.1.3.3</t>
  </si>
  <si>
    <t>1.1.3.4</t>
  </si>
  <si>
    <t>1.1.3.5</t>
  </si>
  <si>
    <t>Risk Scoring</t>
  </si>
  <si>
    <t>Credit Decisioning</t>
  </si>
  <si>
    <t>ERP Credit Master Update</t>
  </si>
  <si>
    <t>Determine credit outcome based on scoring thresholds and policy rules (e.g., approve, escalate for manual review, reject)</t>
  </si>
  <si>
    <t>Assumes third party provider is used</t>
  </si>
  <si>
    <t>Credit platform or equivalent workflow tool</t>
  </si>
  <si>
    <t>Automatically interface approved credit decisions from credit platform/workflow tool to ERP (Oracle/Maconomy) to update customer credit master data, payment terms and hold status</t>
  </si>
  <si>
    <t>1.1.3.6</t>
  </si>
  <si>
    <t xml:space="preserve">Automatically notify relevant teams </t>
  </si>
  <si>
    <t>Notify Stakeholders</t>
  </si>
  <si>
    <r>
      <t xml:space="preserve">HubSpot connection to ServiceNow </t>
    </r>
    <r>
      <rPr>
        <sz val="9"/>
        <color rgb="FFFF0000"/>
        <rFont val="Arial"/>
        <family val="2"/>
      </rPr>
      <t>[to be confirmed]</t>
    </r>
  </si>
  <si>
    <t>Oracle support team creates the record in Fusion. It is done manually using templates.
Extent to which templates are re-used is minimal - ca. 800 templates are currently in the system
Rates are the main driver of the proliferation</t>
  </si>
  <si>
    <t>Limited MDM. Teams have offline mapping tables on customer entities and drugs for reporting purposes</t>
  </si>
  <si>
    <t>All manual as access to SoW / MSA limited. Tickets are logged with the Oracle support team</t>
  </si>
  <si>
    <t>Very limited - 99% of Medical is milestone billing</t>
  </si>
  <si>
    <t>Existing MSA Check</t>
  </si>
  <si>
    <t>Determine whether a valid MSA already exists for the customer or parent/affiliate group</t>
  </si>
  <si>
    <t>Client Amendments</t>
  </si>
  <si>
    <t>POC files ingested into Power Query, with manual completion % entry required for mid-tier projects ($10K–$150K)</t>
  </si>
  <si>
    <t>POC files are the triggers for billing events</t>
  </si>
  <si>
    <t>Collection is moving to GFS - for some agencies its already moved</t>
  </si>
  <si>
    <t>Budgets are set at the outset based on expected amount inc. expense. When actual costs come through a whole reconciliation exercise has to happen to find where the difference is between the project amount and the contract amounts</t>
  </si>
  <si>
    <t>PFRM which is a manual, bolt on tool to do forecasting</t>
  </si>
  <si>
    <t>Reconciliation of PPM vs. contract module. Oracle’s contract module can only hold one purchase order per contract and does not automatically sync with financials of underlying projects in PPM. When second PO arrives, the system loses the first one. Teams create workaround “Part 2” contracts that split the financial record in two which leads to a disconnect between the contract module and the PPM module.  This cascades through billing, revenue recognition, and project close, affecting roughly 19,000–21,000 active projects across the division. Furthermore, Ops and Finance have to manually update at the project and contract actuals to keep them in sync.</t>
  </si>
  <si>
    <t>All of these activities are logged onto PPM</t>
  </si>
  <si>
    <t>Client reviews the contract, raises redlines if applicable and executes e-signature within HubSpot (via DocuSign integration)</t>
  </si>
  <si>
    <t>CLM (DocuSign)</t>
  </si>
  <si>
    <t xml:space="preserve">Confirm that all counterparty signatures are captured and the contract is legally binding before proceeding. Change document status to "Completed" </t>
  </si>
  <si>
    <t>1.2.2.5</t>
  </si>
  <si>
    <t>Choose the appropriate MSA template from CLM based on division, commercial model, client region, etc.</t>
  </si>
  <si>
    <t>SOW initiation / amendment</t>
  </si>
  <si>
    <t>1.2.1.1</t>
  </si>
  <si>
    <t>Project Amendment?</t>
  </si>
  <si>
    <t>Determine whether scope is related to an existing project and requires amendment to the SOW</t>
  </si>
  <si>
    <t>Generate and populate SOW document using standardised templates</t>
  </si>
  <si>
    <t>Transmit final SOW to client signatories via e-signature link within HubSpot (via DocuSign integration)</t>
  </si>
  <si>
    <t>Review and redline with customer. Finalise SOW details and obtain e-signature</t>
  </si>
  <si>
    <t>Determine whether the customer has proposed amendments to the SOW</t>
  </si>
  <si>
    <t>Client Reviews &amp; Signs SOW</t>
  </si>
  <si>
    <t>Project Activation Trigger</t>
  </si>
  <si>
    <t>1.2.2.6</t>
  </si>
  <si>
    <t>1.2.2.7</t>
  </si>
  <si>
    <t>SOW Alignment to MSA?</t>
  </si>
  <si>
    <t>MSA: Data Extraction</t>
  </si>
  <si>
    <t>SOW Alignment Discrepancy Resolution</t>
  </si>
  <si>
    <t>Identify and resolve discrepancies (e.g., inconsistencies with billing terms). Update SOW document where required</t>
  </si>
  <si>
    <t>SOW: Data Extraction</t>
  </si>
  <si>
    <t>1.2.5.7</t>
  </si>
  <si>
    <t>PO: Data Extraction</t>
  </si>
  <si>
    <t>PO Alignment Discrepancy Resolution</t>
  </si>
  <si>
    <t>CRM / ERP</t>
  </si>
  <si>
    <t>CRM / ServiceNow</t>
  </si>
  <si>
    <t>ServiceNow</t>
  </si>
  <si>
    <t>ServiceNow / ERP</t>
  </si>
  <si>
    <t>Email / ServiceNow</t>
  </si>
  <si>
    <t>ServiceNow / ERP / CRM</t>
  </si>
  <si>
    <t>Client Services receives HubSpot notification that the customer record is live and the Oracle/Maconomy Customer ID is populated</t>
  </si>
  <si>
    <t>Credit Platform / ERP</t>
  </si>
  <si>
    <t>SOW Upload to Agent</t>
  </si>
  <si>
    <t>Contract Capture Tool</t>
  </si>
  <si>
    <t>MSA Upload to Agent</t>
  </si>
  <si>
    <t>Execute Statement of Work (SOW) incl. scope, deliverables, and pricing. Set up the contract/order in the ERP system and prepare for project setup</t>
  </si>
  <si>
    <t>Select SOW Template (CLM)</t>
  </si>
  <si>
    <t>Contract Capture Tool / CLM</t>
  </si>
  <si>
    <t>PO Upload to Agent</t>
  </si>
  <si>
    <t>1.2.5.8</t>
  </si>
  <si>
    <t>Contract Capture Agent</t>
  </si>
  <si>
    <t>See L4</t>
  </si>
  <si>
    <t xml:space="preserve">Create contract/order record in ERP. Input pricing, billing structure and key terms. Link to customer. Associate PO to contract/order. Configure billing schedule and triggers. Set revenue recognition method. </t>
  </si>
  <si>
    <t>PO Received?</t>
  </si>
  <si>
    <t>Determine whether PO has been received</t>
  </si>
  <si>
    <t>1.2.6.1</t>
  </si>
  <si>
    <t>Create contract/order record in ERP linked to customer and opportunity</t>
  </si>
  <si>
    <t>Contract / Order Record Creation</t>
  </si>
  <si>
    <t>Commercial Data Entry</t>
  </si>
  <si>
    <t>PO Association</t>
  </si>
  <si>
    <t>Billing Configuration</t>
  </si>
  <si>
    <t>Revenue Recognition Setup</t>
  </si>
  <si>
    <t>Define revenue recognition method and rules aligned to contract terms</t>
  </si>
  <si>
    <t>Data Validation &amp; Reconciliation</t>
  </si>
  <si>
    <t>Validate accuracy and completeness of contract data in ERP. Confirm alignment with SOW, MSA, and PO</t>
  </si>
  <si>
    <t>1.2.6.2</t>
  </si>
  <si>
    <t>1.2.6.3</t>
  </si>
  <si>
    <t>1.2.6.4</t>
  </si>
  <si>
    <t>1.2.6.5</t>
  </si>
  <si>
    <t>1.2.6.6</t>
  </si>
  <si>
    <t>Link validated client PO to contract/order for billing reference, if applicable</t>
  </si>
  <si>
    <t>1.2.6.7</t>
  </si>
  <si>
    <t>Update Deal Stage</t>
  </si>
  <si>
    <t>Update deal stage in CRM to "Contracted"</t>
  </si>
  <si>
    <t>Create and structure the project in the PSA aligned to the executed SOW (and PO, if applicable). Establish budgets, assign resources and configure time, expense and billing readiness. Activate the project to enable delivery, tracking and invoicing</t>
  </si>
  <si>
    <t>Create project record linked to SOW, PO and customer data. Define work package (phases, activities, timeline, milestones) aligned to SOW</t>
  </si>
  <si>
    <t>Load revenue baseline from SOW and PO. Define cost budget based on resourcing plan. Establish margin baseline</t>
  </si>
  <si>
    <t>Demand &amp; Supply Planning</t>
  </si>
  <si>
    <t>End-to-end stage to forecast revenue demand, plan workforce capacity and assign resources to engagements to ensure optimal utilisation and delivery readiness</t>
  </si>
  <si>
    <t>Revenue Forecasting</t>
  </si>
  <si>
    <t>Develop and maintain revenue forecasts based on pipeline, active contracts, historical patterns and delivery progress to produce a forward-looking demand forecast</t>
  </si>
  <si>
    <t>Pipeline Review &amp; Demand Signal Capture</t>
  </si>
  <si>
    <t>2.1.1</t>
  </si>
  <si>
    <t>2.1.2</t>
  </si>
  <si>
    <t>2.1.3</t>
  </si>
  <si>
    <t>Demand Planning &amp; Workforce Optimisation</t>
  </si>
  <si>
    <t>Assess current and projected resource capacity against forecasted demand to identify staffing / skills requirements, and optimise workforce plans to meet expected delivery needs</t>
  </si>
  <si>
    <t>2.2.1</t>
  </si>
  <si>
    <t>Demand Signal Identification</t>
  </si>
  <si>
    <t>2.2.2</t>
  </si>
  <si>
    <t>2.2.3</t>
  </si>
  <si>
    <t>2.2.4</t>
  </si>
  <si>
    <t>Capacity Assessment</t>
  </si>
  <si>
    <t>Assess current workforce capacity, availability and utilisation levels to establish the available capacity baseline</t>
  </si>
  <si>
    <t>Gap Analysis</t>
  </si>
  <si>
    <t>Compare forecasted demand against available capacity to identify shortfalls or surplus by role, skill, geography and time period</t>
  </si>
  <si>
    <t>Develop plans to address gaps (e.g., hiring, redeployment, subcontracting). Optimise resource mix to balance utilisation and delivery requirements</t>
  </si>
  <si>
    <t>Staffing and Assignments</t>
  </si>
  <si>
    <t>Match available and planned resources to forecasted demand, and confirm resource commitments for upcoming engagements</t>
  </si>
  <si>
    <t>Resource Matching &amp; Assignment Proposals</t>
  </si>
  <si>
    <t>Conflict Resolution &amp; Prioritisation</t>
  </si>
  <si>
    <t>Resource Commitment Confirmation</t>
  </si>
  <si>
    <t>Supply-Demand Reporting</t>
  </si>
  <si>
    <t>2.3.1</t>
  </si>
  <si>
    <t>Resolve resource allocation conflicts across competing projects. Prioritise based on strategic value, contractual commitments and margin impact</t>
  </si>
  <si>
    <t>Confirm resource assignments with project managers and resource owners. Update PSA with confirmed allocations</t>
  </si>
  <si>
    <t>Produce and distribute supply-demand summary reports to leadership. Highlight utilisation, key risks, capacity constraints and mitigation actions</t>
  </si>
  <si>
    <t>2.3.2</t>
  </si>
  <si>
    <t>2.3.3</t>
  </si>
  <si>
    <t>2.3.4</t>
  </si>
  <si>
    <t>2.1.4</t>
  </si>
  <si>
    <t>Scope Change?</t>
  </si>
  <si>
    <t>2.1.5</t>
  </si>
  <si>
    <t>Determine whether there is a scope change after initial SOW draft</t>
  </si>
  <si>
    <t>Draft SOW Document</t>
  </si>
  <si>
    <t>Define Scope &amp; Delivery Approach</t>
  </si>
  <si>
    <t>Define Pricing &amp; Commercial Terms</t>
  </si>
  <si>
    <t>Define Resourcing &amp; Effort</t>
  </si>
  <si>
    <t>PSA / BI</t>
  </si>
  <si>
    <t>PSA / HRIS</t>
  </si>
  <si>
    <t>CRM / PSA / ERP</t>
  </si>
  <si>
    <t>PSA / Concur</t>
  </si>
  <si>
    <t xml:space="preserve">When the prospect is being actively pursued, the user should advance the Deal Stage through the various stages (RFP/Proposal Submitted &gt; Pitch &gt; Negotiation &gt; Verbal Award &gt; Contracting </t>
  </si>
  <si>
    <t>Contract Capture Tool / PSA or ERP</t>
  </si>
  <si>
    <t>SOW Value Capture &amp; System Recording</t>
  </si>
  <si>
    <t>Key Differences / Call-outs from As-is
(MEDICAL)</t>
  </si>
  <si>
    <t>Key Differences / Call-outs from As-is
(IGNITE)</t>
  </si>
  <si>
    <t>Key Differences / Call-outs from As-is
(EVOKE)</t>
  </si>
  <si>
    <t>Key Differences / Call-outs from As-is
(ENGAGE)</t>
  </si>
  <si>
    <t>2.1.1.1</t>
  </si>
  <si>
    <t>2.1.1.2</t>
  </si>
  <si>
    <t>Review and update opportunity data in CRM (stage, probability, value, timing) to reflect latest client engagement status</t>
  </si>
  <si>
    <t>Pipeline Data Review &amp; Update</t>
  </si>
  <si>
    <t>Opportunity Qualification for Forecast</t>
  </si>
  <si>
    <t>2.1.2.1</t>
  </si>
  <si>
    <t>Historical Revenue &amp; Utilisation Review</t>
  </si>
  <si>
    <t>Trend &amp; Seasonality Analysis</t>
  </si>
  <si>
    <t>2.1.2.2</t>
  </si>
  <si>
    <t>2.1.2.3</t>
  </si>
  <si>
    <t>Division Finance</t>
  </si>
  <si>
    <t>2.1.3.1</t>
  </si>
  <si>
    <t>Forecast Review &amp; Challenge</t>
  </si>
  <si>
    <t>Forecast Finalisation &amp; Publication</t>
  </si>
  <si>
    <t>Finalise and publish forecast version for downstream demand and workforce planning</t>
  </si>
  <si>
    <t>Staffing</t>
  </si>
  <si>
    <t>Determine whether submitted timesheet is approved</t>
  </si>
  <si>
    <t>Project Manager (PM) reviews expenses for policy compliance and accuracy. Approves or rejects expense claims with comments</t>
  </si>
  <si>
    <t>Determine whether submitted expense report is approved</t>
  </si>
  <si>
    <t>Record time worked against project tasks, activities and billing category (e.g., billable, non-billable, internal) using only pre-loaded project codes that the individual is approved to charge time against</t>
  </si>
  <si>
    <t>Record project-related expenses with supporting documentation, using only pre-loaded project codes that the individual is approved to charge expenses against</t>
  </si>
  <si>
    <t>3.3.1.1</t>
  </si>
  <si>
    <t>Validate Cost Accuracy</t>
  </si>
  <si>
    <t>Assign Cost Classification</t>
  </si>
  <si>
    <t>Identify Cost Source &amp; Data Capture</t>
  </si>
  <si>
    <t xml:space="preserve">Identify project-related costs from source systems or inputs (e.g., vendor invoices, internal charges, licences) and capture in ERP </t>
  </si>
  <si>
    <t>Validate cost data for completeness and accuracy</t>
  </si>
  <si>
    <t>Assign / validate cost category (e.g., subcontractor, overhead, internal allocation)</t>
  </si>
  <si>
    <t>3.3.1.2</t>
  </si>
  <si>
    <t>3.3.1.3</t>
  </si>
  <si>
    <t>Allocation Basis Definition</t>
  </si>
  <si>
    <t>Allocation Calculation</t>
  </si>
  <si>
    <t>Cost Allocation Assignment</t>
  </si>
  <si>
    <t>Allocation Validation</t>
  </si>
  <si>
    <t>3.3.2.1</t>
  </si>
  <si>
    <t>Define cost allocation basis (e.g., usage, headcount, revenue share, fixed split)</t>
  </si>
  <si>
    <t>Allocate costs to the appropriate project, task or cost object</t>
  </si>
  <si>
    <t>Validate allocation results for accuracy and completeness</t>
  </si>
  <si>
    <t>Automatically calculate cost allocation across projects based on defined rules</t>
  </si>
  <si>
    <t>Cost Posting to Project Ledger</t>
  </si>
  <si>
    <t>3.3.3.1</t>
  </si>
  <si>
    <t>Cost Synchronisation to PSA</t>
  </si>
  <si>
    <t>Automatically sync posted costs from ERP to PSA for project tracking</t>
  </si>
  <si>
    <t>3.3.3.2</t>
  </si>
  <si>
    <t>Automatically post allocated costs to project financials in ERP and update project cost balances</t>
  </si>
  <si>
    <t>3.3.2.2</t>
  </si>
  <si>
    <t>3.3.2.3</t>
  </si>
  <si>
    <t>3.3.2.4</t>
  </si>
  <si>
    <t>3.3.2.5</t>
  </si>
  <si>
    <t>Cost Allocation Approval?</t>
  </si>
  <si>
    <t>Determine whether cost allocations are approved for posting</t>
  </si>
  <si>
    <t>SOW and PO saved on client drives (not centralised). In EU, MSAs stored as PDFs on local network drives per country, in local languages. Contracts managed locally with no standard process. Project management gives Excel to Finance for Oracle PPM input. HubSpot doesn't work well for EU Engage's people-supply business model.</t>
  </si>
  <si>
    <t>MSAs created on Teams drives based on client briefs. Pricing negotiated via email. HubSpot for new opportunities, Oracle for renewals. No CLM, no e-signature, no centralised contract repository.</t>
  </si>
  <si>
    <t>Initiated in HubSpot by innovation &amp; growth team. Vynamic uses Certinia; Putnam and others use HubSpot. Separate start points that converge at Project Activation.</t>
  </si>
  <si>
    <t>New business captured in HubSpot; existing account work may be tracked in Excel sheets. No standardised initiation workflow across C&amp;T and Comms divisions.</t>
  </si>
  <si>
    <t>BD team inputs into HubSpot for pipeline. In EU, HubSpot covers new opportunities but may not capture individual statements of work - only the overall project. Business model (people supply) does not align well with HubSpot's structure.</t>
  </si>
  <si>
    <t>HubSpot used for new opportunities. Oracle system used for renewals. HubSpot holds uncommitted pipeline; Oracle PPM holds committed work.</t>
  </si>
  <si>
    <t>HubSpot used across Ignite but deal/service-line structures differ by entity (Putnam vs Vynamic). No standardised duplicate detection or merge process documented.</t>
  </si>
  <si>
    <t>HubSpot used for growth/new business side. Engagement type and deal structure may differ between C&amp;T and Comms.</t>
  </si>
  <si>
    <t>HubSpot used for new pipeline but limited detail captured. EU Engage may not see individual SOWs in HubSpot, only overall project-level entries.</t>
  </si>
  <si>
    <t>HubSpot used for new opportunity capture but with limited structured data. Forecasts sit in HubSpot at pipeline level.</t>
  </si>
  <si>
    <t>No automated HubSpot-to-ERP check. Customer data exists across HubSpot, Certinia, and Oracle with fragmented parent/child hierarchies. Inconsistent naming and entity structures create duplicate maintenance risk.</t>
  </si>
  <si>
    <t>No automated trigger. Client data split across HubSpot, Maconomy, and Oracle. No integrated duplicate check between systems.</t>
  </si>
  <si>
    <t>No automated check. Customer data split between HubSpot, Oracle Fusion, and Oracle PPM. EU countries manage customer records locally.</t>
  </si>
  <si>
    <t>No automated check between HubSpot and Oracle PPM. Templates created in Oracle for new products/clients but reuse is minimal (~800 templates in system).</t>
  </si>
  <si>
    <t>No automated ServiceNow ticket creation. PO mailbox monitored by div finance (transitioning to GFS). Client reaches out directly or via Ariva portal.</t>
  </si>
  <si>
    <t>No automated ServiceNow workflow. Setup requests submitted manually. Two-form/two-system setup needed (Maconomy + Oracle) depending on division.</t>
  </si>
  <si>
    <t>No automated request workflow. Project management gives Excel to Finance who manually input into Oracle PPM. EU countries manage setup locally.</t>
  </si>
  <si>
    <t>Client/account hierarchy fragmented across HubSpot, Certinia, Oracle Fusion, and Oracle EPM. Parent/child naming inconsistent. Current Certinia configurations vary across Ignite entities.</t>
  </si>
  <si>
    <t>Client setup may require activity in both Maconomy and Oracle. ServiceNow requests and manual setup steps needed. No unified customer hierarchy across systems.</t>
  </si>
  <si>
    <t>Oracle PPM for cost side, Oracle Fusion for rest. Individual rates not captured in PPM - all managed outside in Excel. EU operations input project data manually from Excel handoffs.</t>
  </si>
  <si>
    <t>No formal MDM ticket workflow. Data cleanup, export, upload, and reconciliation across systems is manual. Pricing models built in Excel then entered into HubSpot/Certinia.</t>
  </si>
  <si>
    <t>No MDM workflow. Client data manually maintained across Maconomy and Oracle. Division-specific forms used for setup.</t>
  </si>
  <si>
    <t>No MDM process. Finance manually enters client data into Oracle from project management Excel inputs. Rate data managed entirely outside PPM.</t>
  </si>
  <si>
    <t>No formal credit screening or risk scoring process documented in workshop notes. Credit assessment not described as a standard step in As-Is.</t>
  </si>
  <si>
    <t>No formal credit screening process documented. Not a standard step in As-Is Evoke OTC process.</t>
  </si>
  <si>
    <t>No formal credit screening process documented. Not a standard step in As-Is Engage OTC process.</t>
  </si>
  <si>
    <t>No formal credit screening or compliance screening process documented in As-Is.</t>
  </si>
  <si>
    <t>No CLM. MSAs stored as PDFs on local network drives per country in local languages. No standard process - managed locally. No e-signature.</t>
  </si>
  <si>
    <t>No CLM tool. MSAs created in Teams drives from client briefs. Scope templates are client-specific. No e-signature. Pricing negotiated via email.</t>
  </si>
  <si>
    <t>No DocuSign. Contracts sent manually (email). Manual signature process.</t>
  </si>
  <si>
    <t>No DocuSign. Contracts in local languages sent manually per country. Regulations vary significantly by country.</t>
  </si>
  <si>
    <t>No DocuSign. Contracts sent and negotiated manually via email.</t>
  </si>
  <si>
    <t>No contract capture agent or tool. SOW/pricing documents manually uploaded to multiple repositories.</t>
  </si>
  <si>
    <t>No contract capture agent. Contracts stored in HighQ (MSAs) and Maconomy (SOWs) separately.</t>
  </si>
  <si>
    <t>No contract capture agent. Contracts stored as PDFs on network drives.</t>
  </si>
  <si>
    <t>No contract capture agent. Contracts on Teams drives with no structured data extraction.</t>
  </si>
  <si>
    <t>No automated data extraction. Contract terms manually read and rekeyed into Certinia/HubSpot. Identified as highest-value AI opportunity.</t>
  </si>
  <si>
    <t>No automated extraction. Contract terms manually interpreted and entered into Maconomy. No standard rate card repository.</t>
  </si>
  <si>
    <t>No automated extraction. Contract terms manually transferred from PDFs into Oracle. Pricing models in each SOW (individual per client).</t>
  </si>
  <si>
    <t>No automated extraction. All contract data manually read and input into Oracle PPM by ops team.</t>
  </si>
  <si>
    <t>Dual-system flow: HubSpot to Certinia. SOW/pricing manually uploaded to multiple places. POs arrive via Ariva portal, email, or direct contact - no unified intake. Account manager manages POs; GFS inputs into Certinia.</t>
  </si>
  <si>
    <t>Entirely manual SOW process. No automated validation. For large clients, portals (e.g., DecideWare) require manual entry of 100s of rows per SOW, sometimes monthly. No standard rate card repository.</t>
  </si>
  <si>
    <t>SOW sent via email to contact team for Oracle BPM setup. Individual pricing models per client. EU: Project managers provide Excel to Finance for PPM data entry. All rates managed outside PPM in Excel.</t>
  </si>
  <si>
    <t>All manual - access to SOW/MSA is limited. Contract is a system term (not PDF) in Oracle. Budget changes don't auto-update contract funding. Every project change requires manual contract update, often multiple times per month.</t>
  </si>
  <si>
    <t>SOW templates exist in HubSpot/Certinia but differ by entity. Pricing frequently built in Excel before system entry. No standardised CLM-based drafting.</t>
  </si>
  <si>
    <t>70% use SOW templates within client MSA; 30% use internal template. Larger clients propose their own. No CLM. Drafting is manual in Word/Excel.</t>
  </si>
  <si>
    <t>Pricing model individual for every client, embedded in each SOW. No standardised template-based drafting. Contracts vary by country with different regulatory requirements.</t>
  </si>
  <si>
    <t>Scopes of work template-specific for clients based on briefs. Drafted in Word/Excel on Teams drives. Oracle creates new templates for new products/clients.</t>
  </si>
  <si>
    <t>Pricing models frequently built outside system in Excel then entered into HubSpot/Certinia. Vynamic ~98% fixed fee; Putnam ~99% fixed fee.</t>
  </si>
  <si>
    <t>Pricing model in every SOW, individual for every client. US: 20M consulting T&amp;M; rest is fixed billing per day/month. EU: Daily rate per working day + passthrough costs.</t>
  </si>
  <si>
    <t>Pricing negotiated via email with client. Most projects are fixed fee. Rates are manually managed.</t>
  </si>
  <si>
    <t>No DocuSign. SOWs sent manually via email.</t>
  </si>
  <si>
    <t>No DocuSign. SOWs sent manually. EU contracts in local language per country.</t>
  </si>
  <si>
    <t>No DocuSign or e-signature. SOWs sent via email after manual negotiation.</t>
  </si>
  <si>
    <t>No contract capture tool. SOW documents manually uploaded to HubSpot and Certinia.</t>
  </si>
  <si>
    <t>No contract capture tool. SOW copies sent via email to contact team for manual setup.</t>
  </si>
  <si>
    <t>No contract capture tool. SOW data manually read and entered into Oracle PPM.</t>
  </si>
  <si>
    <t>No automated extraction. Contract data manually rekeyed from SOW documents into Certinia. Key AI use case identified.</t>
  </si>
  <si>
    <t>No automated extraction. SOW data manually entered into Maconomy. Each SOW for large clients can have 100s of rows.</t>
  </si>
  <si>
    <t>No automated extraction. SOW data manually transferred to Oracle via Excel intermediary.</t>
  </si>
  <si>
    <t>No automated extraction. Project managers manually enter SOW data into Oracle PPM. Templates used but reuse is low.</t>
  </si>
  <si>
    <t>POs arrive via Ariva client portal (email notification), direct client contact, or monitored mailbox. Mailbox managed by div finance (transitioning to GFS). POs then manually loaded into Certinia.</t>
  </si>
  <si>
    <t>Big clients use portals (e.g., DecideWare) requiring large-volume manual data entry. No unified PO intake channel. Manual validation.</t>
  </si>
  <si>
    <t>PO managed via client drives. EU: POs received via email with MSA. No unified intake or automated validation.</t>
  </si>
  <si>
    <t>Manual PO check required before billing. Contract represents PO (many projects). One PO per contract in Oracle's contract module - no auto-sync with project financials.</t>
  </si>
  <si>
    <t>Contract/order setup in Certinia. HubSpot data pushed into Certinia at project activation. Different configurations across Ignite entities (Putnam, Vynamic, RP, STEM).</t>
  </si>
  <si>
    <t>Setup requires activity in both Maconomy and Oracle depending on division. Two-form/two-system process creates duplication. Budget values may need duplicate entry.</t>
  </si>
  <si>
    <t>Setup in Oracle PPM (cost side) and Oracle Fusion (rest). Individual rates not captured in PPM - managed in Excel. EU: Finance enters data from PM Excel handoffs.</t>
  </si>
  <si>
    <t>Project activated in Certinia after HubSpot data flows through. Entities not aligned on one common system model. Different Certinia configurations by business line. No automated SOW-to-project setup.</t>
  </si>
  <si>
    <t>Project setup in Maconomy is manual. Two-form/two-system process (Maconomy + Oracle). Budget values require duplicate entry in contract and working budget fields. Finance contact assignment is offline.</t>
  </si>
  <si>
    <t>Local finance sets up project by project in Oracle. Growth enablement function provides Oracle forms. No automated activation. EU: PM provides Excel to finance for PPM data entry. Business changing from commercial to people support model.</t>
  </si>
  <si>
    <t>Project opened manually in Oracle PPM by project manager. PRFM bolted onto PPM for forecasting with manual connection. Budget changes require manual contract funding updates.</t>
  </si>
  <si>
    <t>SOW not pre-loaded from a capture tool. Project creation in Certinia is manual after opportunity/contract package is ready. Projects can appear before full staffing is complete.</t>
  </si>
  <si>
    <t>BD team exports HubSpot data to Excel then to Oracle EPM/BPM for project setup. Copy of SOW sent via email. No automated initiation.</t>
  </si>
  <si>
    <t>Once agreed by client, project manager opens project manually in Oracle PPM with SOW data. No pre-loading from any capture tool.</t>
  </si>
  <si>
    <t>Project structure set up in Certinia with budgets and milestone structures. Different structures per entity.</t>
  </si>
  <si>
    <t>Oracle PPM for project-related data; Oracle Fusion for other contract info. Project with contract linked manually. No standardised structure across EU countries.</t>
  </si>
  <si>
    <t>Templates used in Oracle PPM but ~800 exist with minimal reuse. Project structure setup is manual.</t>
  </si>
  <si>
    <t>Revenue and budget loaded in Certinia. Different budget/revenue data structures between Putnam and Vynamic affect downstream forecasting.</t>
  </si>
  <si>
    <t>Budget input into Oracle BPM manually. Forecast built in Excel then input into Oracle. No automated budget loading from SOW.</t>
  </si>
  <si>
    <t>Resources auto-loaded from Workday into Certinia (strong). Small number of exceptions managed manually. Mix of Oracle and Workday creates some complexity.</t>
  </si>
  <si>
    <t>Resourcing is biggest weak point. Team doesn't use Maconomy PSA module - manages in individual Excel sheets. No integrated capacity or availability view.</t>
  </si>
  <si>
    <t>Staffing combined between project management and resource management manually. AOE from Workday not always accurate. EU: No systems for workforce management at all.</t>
  </si>
  <si>
    <t>Resource planning jointly by finance and operations using Excel. Permanent staff allocated to books of business; freelancers used for peaks.</t>
  </si>
  <si>
    <t>Time entry in Certinia. Expense system includes an Expense Bot for first-round automated review (pocket of excellence). Project codes synced between Certinia and Oracle.</t>
  </si>
  <si>
    <t>Utilisation tracked via API with Maconomy (automated). Time entry in Maconomy. PTO tracking not fully integrated and maintained separately.</t>
  </si>
  <si>
    <t>Time tracking varies by country: Oracle PPM (UK), Rexie (Germany), Excel (others). Concur for expenses but project codes not always uploaded - manual list drafting needed for Oracle.</t>
  </si>
  <si>
    <t>No formal billing readiness validation step. Billing configuration set in Certinia during milestone/project setup.</t>
  </si>
  <si>
    <t>No formal billing readiness check. Billing setup is part of the manual project configuration in Maconomy.</t>
  </si>
  <si>
    <t>No formal billing readiness validation. Billing done in Oracle Fusion with rate cards defined per SOW.</t>
  </si>
  <si>
    <t>No formal billing readiness validation. No triggers in PPM - finance manually prompts ops. No way to find remaining PO balance in system.</t>
  </si>
  <si>
    <t>Project becomes visible in Certinia before full staffing/resource structure is complete. No formal go-live checklist described.</t>
  </si>
  <si>
    <t>No formal go-live validation. Project setup completion depends on manual review and offline coordination.</t>
  </si>
  <si>
    <t>No formal activation gate. Project goes live once setup in Oracle by finance. No automated stakeholder notification.</t>
  </si>
  <si>
    <t>Project activated in PPM manually. Contract represents PO linkage. No automated go-live confirmation or stakeholder notification.</t>
  </si>
  <si>
    <t>Relatively strongest of the divisions. Certinia used for forecasting and supply/demand planning. Resources mostly auto-loaded from Workday. Remaining pain points are exceptions and some Excel usage. No Oracle EPM - uses Certinia and Excel.</t>
  </si>
  <si>
    <t>One of the clearest pain points. Team does not use Maconomy PSA staffing module - manages in Excel. People Planner reviewed and rejected (too manual, too slow, no batch changes). Forecast deviations are manual and Excel-based.</t>
  </si>
  <si>
    <t>Mixed maturity. US: planning supported by finance, ops, and growth enablement. EU: No systems for workforce management; key staffing/rate data not captured in PPM. 60% salesforce turnover with 1000+ onboard/offboard per year in Europe.</t>
  </si>
  <si>
    <t>Uses PRFM+ for planning (bolt-on to PPM). HubSpot for uncommitted pipeline, Oracle PPM for committed. Expected/blue-sky forecasts in Excel. Resource planning heavily manual with joint finance/ops effort.</t>
  </si>
  <si>
    <t>Certinia Forecasting tool used (integrated in PSA) - no Oracle EPM. Div finance responsible. Oracle EPM data loading is manual, slow, and error-prone when used. Project-level change visibility lacking.</t>
  </si>
  <si>
    <t>Forecast built in Excel, input into Oracle BPM. Multiple forecast types required (weekly, monthly, 3-month). Budget input into BPM manually. Separate forecasts for group and treasury - all in Excel.</t>
  </si>
  <si>
    <t>PRFM used for forecasting (manual bolt-on to PPM). HubSpot holds uncommitted pipeline; PPM holds committed. Expected and blue-sky forecasts managed in Excel files.</t>
  </si>
  <si>
    <t>Pipeline data in HubSpot. Data flows to Certinia but service-line/deal structures differ by entity. No automated capture into EPM.</t>
  </si>
  <si>
    <t>HubSpot for pipeline. US: relatively automated flow to Oracle EPM. EU: HubSpot may not capture individual SOWs - only overall project.</t>
  </si>
  <si>
    <t>Pipeline in HubSpot. Committed work in Oracle PPM. No automated consolidation between the two.</t>
  </si>
  <si>
    <t>Historical analysis and scenario planning done in Excel and Power BI rather than in EPM. Manual investigation required for forecast changes.</t>
  </si>
  <si>
    <t>No structured historical demand analysis. Forecasting is Excel-based without systematic trend analysis.</t>
  </si>
  <si>
    <t>No structured historical analysis. Forecasts based on manual inputs from local finance. Fusion can output reports for use in forecasting.</t>
  </si>
  <si>
    <t>Historical analysis done in Excel/PRFM. Forecasts based on expected client spend, renewals, and additional opportunities.</t>
  </si>
  <si>
    <t>Certinia data input into overall financial planning. PPM used for group data loading. EPM data loading manual, with system timeouts driving users back to Excel.</t>
  </si>
  <si>
    <t>Forecast consolidation entirely manual in Excel. No system-based consolidation across service lines or geographies.</t>
  </si>
  <si>
    <t>Manual consolidation. Weekly, monthly, and 3-month forecasts using Fusion reports with local finance inputs. Group and treasury forecasts done separately, all in Excel.</t>
  </si>
  <si>
    <t>Consolidation between PRFM, HubSpot, and PPM is manual. Excel used as intermediary for forecast generation.</t>
  </si>
  <si>
    <t>Div finance, innovation &amp; growth, and staffing function collaborate. Innovation &amp; growth supports all Inizio divisions for pipeline translation. Resources auto-loaded from Workday into Certinia. Small number of exceptions managed manually.</t>
  </si>
  <si>
    <t>Biggest weak point for Evoke. Team does not use Maconomy PSA staffing module. Resource management done in individual Excel sheets (RAPs). People Planner was reviewed and rejected - too manual, no batch edits. Staffing tool would benefit everything else in the process.</t>
  </si>
  <si>
    <t>US: Ops knows capacity; growth enablement helps. EU: No workforce management systems. 60% salesforce turnover. Offboard/onboard 1000+ people per year. Finance puts demand/supply together in Excel from PM inputs.</t>
  </si>
  <si>
    <t>Joint effort between finance and operations. Revenue per head and capacity planners used as KPIs. Permanent staff on books of business; freelancers for peaks. Heavily manual in Excel.</t>
  </si>
  <si>
    <t>Resources automatically loaded into Certinia from Workday. Utilisation visibility through Certinia. Exceptions managed manually.</t>
  </si>
  <si>
    <t>No system-based capacity view. RAPs (resource allocation plans) done in Excel. Utilisation tracked via Maconomy API (automated) but capacity planning is separate and manual.</t>
  </si>
  <si>
    <t>No system for capacity assessment. US: staff fulfilment rate tracked but not integrated with Oracle BPM. EU: No systems for workforce management.</t>
  </si>
  <si>
    <t>Capacity assessed manually through Excel-based resource planning. Lead times from opportunity to project start vary significantly.</t>
  </si>
  <si>
    <t>Mix of Oracle (accounting) and Workday (people management) for capacity gaps. Innovation &amp; growth team translates pipeline from people perspective.</t>
  </si>
  <si>
    <t>Hiring delays are a key issue creating staffing gaps. No system-driven subcontractor or hiring planning.</t>
  </si>
  <si>
    <t>EU: Avature (customised system) used for recruitment, better than Workday for their needs. Can't oversupply - deliver people not services. Client involved in recruitment (interviews).</t>
  </si>
  <si>
    <t>Freelancer templates provided for time capture. Permanent vs freelance mix managed manually. Lead times from opportunity to start vary.</t>
  </si>
  <si>
    <t>Relatively mature - resources auto-loaded from Workday to Certinia. Staffing requests submitted after pricing info available. Identified need for a future-state staffing assistant for batch edits and utilisation-aware recommendations.</t>
  </si>
  <si>
    <t>Staffing done entirely in Excel, not in Maconomy. No system support for rapidly moving groups of resources when scope changes. Hiring delays create gaps. This is Evoke's biggest operational weakness.</t>
  </si>
  <si>
    <t>Combined between project management and resource management manually. US: AOE from Workday not always accurate for staffing. EU: Avature used for recruitment but data transfer to finance for billing is manual.</t>
  </si>
  <si>
    <t>Staffing managed manually. Freelancers use standard templates. Resource planning relies on Excel with limited automation.</t>
  </si>
  <si>
    <t>No formal PSA-based matching. Resources loaded from Workday; staffing requests feed forecast logic. Need for staffing assistant identified.</t>
  </si>
  <si>
    <t>No system-based matching. Staffing done in individual Excel sheets. People Planner rejected. No batch move capability.</t>
  </si>
  <si>
    <t>No system-based matching. Combined PM and resource management decision. EU: Avature provides candidate shortlisting based on area/skills but doesn't connect to finance systems.</t>
  </si>
  <si>
    <t>No automated matching. Manual coordination between finance and operations.</t>
  </si>
  <si>
    <t>PowerBI used for reporting on top of Certinia data model. Some scenario planning done in Excel outside the system.</t>
  </si>
  <si>
    <t>No integrated supply-demand reporting. Excel-based RAPs and manual Power BI dashboards being introduced.</t>
  </si>
  <si>
    <t>No integrated reporting. US: Oracle Fusion used for some reports. EU: Data extracts from Oracle PPM into Power Query/PowerBI for reporting. Existing Oracle reporting is not useful.</t>
  </si>
  <si>
    <t>Reporting done through PRFM and Excel. Utilisation and cash forecasting transitioning from Excel to PowerBI.</t>
  </si>
  <si>
    <t>Most system-supported of the divisions. Certinia used for time, expenses (with Expense Bot), and project management. Pain points are mainly incomplete workflow automation (e.g., non-automated reminder emails) rather than absent systems.</t>
  </si>
  <si>
    <t>Maconomy used for project management but not leveraged for resource management. Excel supports significant parts of delivery planning. Timesheet compliance is a material pain point with manual reopening and reallocation.</t>
  </si>
  <si>
    <t>Highly variable by geography. EU: Different time systems by country (Oracle PPM UK, Rexie Germany, Excel others). Inizio never invested in this part of the EU business. Concur for expenses but not cleanly integrated with Oracle.</t>
  </si>
  <si>
    <t>Certinia used for timesheets. Twice-a-month reminder emails are NOT automated - should move to operations. Expense Bot handles first-round review automatically (pocket of excellence).</t>
  </si>
  <si>
    <t>Time entry in Maconomy. Timesheet compliance is a major issue. Reopening timesheets requires manual tickets. Project access control creates delays. Teams chase, reopen, and reallocate time manually. Reallocation tracked as KPI (sign of upstream weakness).</t>
  </si>
  <si>
    <t>US: Time tracked in Oracle systems. EU: Varies by country - Oracle PPM (UK), Rexie (Germany), Excel or client systems (others). Most EU countries have no timesheet system. Projects reconciled monthly instead.</t>
  </si>
  <si>
    <t>Time entered in Oracle PPM. Once submitted, users cannot adjust - must email finance to request changes. Finance processes changes manually in PPM (very time-consuming). Mis-coding and client spending changes drive frequent corrections.</t>
  </si>
  <si>
    <t>Time entered in Certinia. Process relatively standardised across Ignite.</t>
  </si>
  <si>
    <t>Time entered in Maconomy. Users search/filter for projects line by line. Weekly submission standard; daily was tried but too burdensome.</t>
  </si>
  <si>
    <t>US: Time in Oracle. EU: Multiple systems (Oracle PPM UK, Rexie Germany, Excel elsewhere). No standardised entry method across geographies.</t>
  </si>
  <si>
    <t>Time entry in Oracle PPM. Freelancers use a standard template to populate time. Happens frequently on projects with one PO and many small sub-projects.</t>
  </si>
  <si>
    <t>Approval process exists in Certinia. PM reviews. Reminders not automated.</t>
  </si>
  <si>
    <t>PM approval exists but reopening requires manual tickets/intervention. No strong staffing-to-timesheet linkage that would prepopulate or constrain time entry.</t>
  </si>
  <si>
    <t>US: PM approval in Oracle. EU: Limited - most countries don't use timesheets. Reconciliation done monthly rather than per-timesheet approval.</t>
  </si>
  <si>
    <t>PM approval in PPM. Users cannot self-correct after submission - must request finance intervention via email to specific inbox.</t>
  </si>
  <si>
    <t>Employee expenses through Certinia with Expense Bot for automated first-round review. Vendor expenses: PM raises requisition in Oracle coded against project. Cross-system process between Certinia and Oracle for vendor expenses. No clear tieback between credit cards and approved expenses.</t>
  </si>
  <si>
    <t>Utilisation tracked via API with Maconomy (automated). PTO tracking not fully integrated - maintained separately from system time reporting.</t>
  </si>
  <si>
    <t>Concur used for expenses but project codes not always uploaded to Concur. Manual process to draft item list for Oracle project logging. Credit card spend adds complexity to cash forecasting. EU: Passthrough costs manually captured and reconciled.</t>
  </si>
  <si>
    <t>Expense system within Oracle. Concur feeds into Oracle but projects not uploaded - manual process needed for project logging. Hope bot exists for checking but not used consistently due to resource constraints.</t>
  </si>
  <si>
    <t>Employee expenses in Certinia with Expense Bot for first-pass review. Vendor expenses raised as requisitions in Oracle by PM.</t>
  </si>
  <si>
    <t>Expenses in Maconomy/Concur. Utilisation via Maconomy API. PTO separate.</t>
  </si>
  <si>
    <t>Concur for expenses. EU: passthrough costs (fuel, bonuses) defined by contract and varied by regulation. Passthroughs manually matched to travel claims.</t>
  </si>
  <si>
    <t>Expenses in Oracle. Concur auto-feeds into Oracle but project allocation is manual. Freelancer expenses via standard templates.</t>
  </si>
  <si>
    <t>Passthrough costs: system meant to generate cost and revenue transaction but no automated notification if budget exceeded. Part of month-end analysis. Vendor invoice direction not in policy with Inizio.</t>
  </si>
  <si>
    <t>Limited other cost tracking described. Resource management costs not systematically tracked outside of time.</t>
  </si>
  <si>
    <t>Finance catches credit card expenses in P&amp;L then ops allocate in Oracle Fusion - manual. Manual cost allocation across multiple projects required for accurate gross profit. Two big VC programs with manual cost tracking.</t>
  </si>
  <si>
    <t>Passthrough costs significant - manual allocation and reconciliation required. Project-level cost tracking through PPM.</t>
  </si>
  <si>
    <t>Personnel costs ~90% automated through Certinia. Other costs (~10%) manually calculated and allocated. No automated budget-exceeded notifications for passthroughs.</t>
  </si>
  <si>
    <t>Cost allocation not well-documented as a separate step. Costs tracked at project level in Maconomy.</t>
  </si>
  <si>
    <t>Manual cost allocation process. Finance identifies large P&amp;L expenses, works with ops to allocate across projects. Concur project codes not always available, creating allocation gaps.</t>
  </si>
  <si>
    <t>Budgets set at outset based on expected amounts. When actuals differ, full reconciliation exercise needed. Costs allocated through PPM.</t>
  </si>
  <si>
    <t>Milestones are core control point in Certinia billing. Milestone amounts, PO details, billing site overrides manually maintained. Not enough system-driven workflow to ensure data complete before billing. Finance acts as manual backstop.</t>
  </si>
  <si>
    <t>Utilisation less direct when teams on-site. No volumetrics tracked. Schedule adherence not measured. Limited milestone-based monitoring for people-supply model.</t>
  </si>
  <si>
    <t>Progress tracked through milestones in Certinia. Milestone owners receive alerts but manual work still needed to ensure correct data.</t>
  </si>
  <si>
    <t>Progress tracked in Maconomy but resource management not leveraged. Power BI dashboards being introduced for visibility.</t>
  </si>
  <si>
    <t>US: Profitability and margin tracked in Oracle Fusion. EU: Project profitability is main focus - margin tracking done by local finance directors using Oracle PPM data extracts.</t>
  </si>
  <si>
    <t>Progress tracked via manual POC (percentage of completion) files. PMs fill in manually, then data ingested via PowerQuery for reporting and billing triggers.</t>
  </si>
  <si>
    <t>Billing depends on milestone creation and validation against PO, billing site, and service product. Some validation still depends on div finance as manual backstop rather than system-driven triggers.</t>
  </si>
  <si>
    <t>No automated billing triggers. Pre-billing at start of month; actuals at end. Billing done in Oracle Fusion with manual rate card application.</t>
  </si>
  <si>
    <t>No triggers within PPM - all manual. Finance prompts ops. POC files are the triggers for billing events. No way to find remaining PO balance in system.</t>
  </si>
  <si>
    <t>Partially automated. Personnel costs (~90%) automated; remaining ~10% manually calculated. All done through month-end analysis. Post-revenue JEs require manual work. Rebates coordinated between commercial team and div finance.</t>
  </si>
  <si>
    <t>Manual process. Ops send Excel to finance for % complete uploads. Automated for T&amp;M but manual for fixed fee/milestone. Revenue adjustments uploaded from Excel. Reconciliation with clients outside system.</t>
  </si>
  <si>
    <t>Manual month-end process by Engage Finance. Last 5 days very busy with huge contracts. RevRec uses actuals for first 25 days + estimates for last 5. Cross-divisional work makes it more complex. Workday FTE updates are painful.</t>
  </si>
  <si>
    <t>Month-end analysis process. Personnel costs ~90% automated through Certinia. Remaining 10% manually calculated. Passthrough cost checks don't auto-notify if budget exceeded.</t>
  </si>
  <si>
    <t>Revenue recognition manual in Maconomy - select required fields. Automated for T&amp;M but manual for fixed fee and milestone-based. Revenue adjustments may need Excel uploads.</t>
  </si>
  <si>
    <t>Done manually by Engage Finance using Oracle Fusion. Actuals for first 25 days + estimates for last 5 days of month. Variance analysis using Oracle BPM reports. Nothing in BPM unless manually input.</t>
  </si>
  <si>
    <t>Ops apply details in PRFM then into PPM. Percentages back-worked from amounts. Manual changes input for each project. Different methods by project value (low/mid/high).</t>
  </si>
  <si>
    <t>Readiness validated through month-end analysis. No formal automated readiness check.</t>
  </si>
  <si>
    <t>No automated readiness check. Finance validates using timesheet data and milestone tracking.</t>
  </si>
  <si>
    <t>Kristen's team reviews variance using Oracle BPM report to analyse. No automated validation.</t>
  </si>
  <si>
    <t>Readiness checked via POC files. Manual completion % entry required for mid-tier projects ($10K-$150K).</t>
  </si>
  <si>
    <t>Accruals/deferrals managed through month-end analysis in Certinia. Passthrough costs generate cost and revenue transactions with budget check. Intercompany revenue requires manual balancing across entities.</t>
  </si>
  <si>
    <t>Revenue execution manual for milestone/variable projects. Bulk uploads from Excel for certain adjustments. Deferred billing and revenue matching improvements ongoing.</t>
  </si>
  <si>
    <t>Pre-billing at start of month creates timing differences. Actuals reconciled at month-end. Cross-divisional work adds RevRec complexity. Fusion vs BPM disconnected unless manually input.</t>
  </si>
  <si>
    <t>Revenue calculated from POC files ingested into Power Query. Manual % completion entry for mid-tier projects. PRFM reconciles revenue with manual reviews and uploads.</t>
  </si>
  <si>
    <t>Rebates: commercial team analyses amount billed, coordinates with div finance. Processed in Oracle or Certinia depending on project. Forecasting captured in HubSpot with many manual adjustments.</t>
  </si>
  <si>
    <t>Revenue adjustment files uploaded from Excel. Reconciliation with clients happens outside system. No system-driven adjustment workflow.</t>
  </si>
  <si>
    <t>Rebate issues: group wants changes to client agreements but difficult with large clients (e.g., J&amp;J). Monthly manual FTE updates by cost centre from Workday. Workday described as 'root of all evil' for this process.</t>
  </si>
  <si>
    <t>Rebates relatively easy to process. Volume rebates done by Liz's team. Move to centralise and shift to GFS underway.</t>
  </si>
  <si>
    <t>Most system-supported. GFS uses Certinia to issue invoices. Manual PO validation and portal submission remains. Intercompany invoicing requires manual GL reclassification. International invoicing needs local compliance steps outside Certinia.</t>
  </si>
  <si>
    <t>No invoices generated automatically - all manual. Very time-consuming but accuracy high due to manual effort. Draft invoices reviewed/approved by email not system workflow. Big client portals require large-volume manual entry.</t>
  </si>
  <si>
    <t>Pre-bill at start of month, actuals at end - complex reconciliation. Reconciliation exported to Excel from Fusion, done in Excel, uploaded back. Over 50% of clients use portals. 100s of portals in EU. No GFS involvement in EU except UK/Ire/Canada.</t>
  </si>
  <si>
    <t>No triggers in PPM - all manual. No way to find remaining PO balance in system. Excel trackers used for milestone/invoice monitoring. GFS responsible for creation and submission but all tasks are manual (receive Excel, review, email back, submit, download, send).</t>
  </si>
  <si>
    <t>GFS generates invoices in Certinia. Billing event compared against budget. Comments/descriptions manually copied from milestone info. Billing site may need manual validation/override. Service product selection matters for fee vs expense presentation.</t>
  </si>
  <si>
    <t>No invoices generated automatically. Most processes manual with some brands using scheduled billing. Reconciliation with clients is key accuracy step. Draft invoices reviewed by email, not in-system workflow.</t>
  </si>
  <si>
    <t>Billing done in Oracle Fusion with rate card. Pre-billing at start of month; actuals with estimates for last 5 days at month-end. Reconciliation exported to Excel, processed in Excel, then uploaded back to Fusion.</t>
  </si>
  <si>
    <t>No triggers in PPM. Finance prompts ops to initiate billing. Excel trackers used to monitor milestones and determine invoice amounts. Ops review trackers with clients for amounts.</t>
  </si>
  <si>
    <t>Milestone completion/approval triggers billing in Certinia. Some validation still depends on div finance as manual backstop rather than automated trigger.</t>
  </si>
  <si>
    <t>No automated invoice triggers. Finance and ops coordinate manually to determine when to invoice.</t>
  </si>
  <si>
    <t>No automated triggers. Pre-billing at start of month is standard. Billing takes 5 days; rest of month spent working with ops and clients.</t>
  </si>
  <si>
    <t>Billing data in Certinia with milestone details. PO, billing site, and service product details manually maintained or validated. Intercompany billing across entities requires project-by-project analysis.</t>
  </si>
  <si>
    <t>Manual data preparation. For T&amp;M, users delimit hours and manually align actuals to invoice content. No system consolidation.</t>
  </si>
  <si>
    <t>Manual preparation in Excel from Fusion data. Client-specific report formats required. Starts with standard template but ends in custom client format. Cross-functional inputs needed (e.g., J&amp;J report across Inizio).</t>
  </si>
  <si>
    <t>Invoice data compiled from POC files and Excel trackers. Ops review with clients to determine amounts. Manual process to gather data across projects.</t>
  </si>
  <si>
    <t>Invoices generated as PDFs in Certinia. Supporting artifacts attached back into system. Intercompany invoices may need manual reclassification on receiving side.</t>
  </si>
  <si>
    <t>All invoices created manually. No system-generated invoices. High accuracy due to manual effort but very time-consuming.</t>
  </si>
  <si>
    <t>Invoices created in Oracle Fusion. No automated generation. EU: Tracking of work done in Excel then sent to Oracle PPM for invoice processing.</t>
  </si>
  <si>
    <t>Invoices generated in Oracle PPM. Client teams share project trackers (Excel) used as invoicing basis. Process can take hours to days.</t>
  </si>
  <si>
    <t>Invoices delivered manually by email or client portal upload. International invoicing has country-specific compliance needs with local ops sometimes handling final issuance outside Certinia.</t>
  </si>
  <si>
    <t>Big client portals (e.g., DecideWare) require large-volume manual data entry. Reconciliation with clients is a key step before finalising invoices.</t>
  </si>
  <si>
    <t>Over 50% of clients require portal uploads. Clients want custom report formats. Client reporting takes significant finance team time. Billing takes 5 days, rest of month is client work.</t>
  </si>
  <si>
    <t>Manual review and email exchanges for approval. Clients may not review straight away - team has to chase. Oracle has direct portal connection but not fully utilised.</t>
  </si>
  <si>
    <t>Manual email or portal submission. Some international/local compliance invoicing handled outside Certinia. Intercompany timing coordinated manually.</t>
  </si>
  <si>
    <t>Manual delivery. Some clients require large portal uploads. No automated submission.</t>
  </si>
  <si>
    <t>100s of client portals in EU need manual invoice loading. Big pharma has portals or external partners required. Invoice progress tracked in portals. EU: all done by local business (no GFS).</t>
  </si>
  <si>
    <t>Submitted manually via email or portal. GFS responsible for submission but process is manual (download from system, send to client). Oracle has portal API connection but underutilised.</t>
  </si>
  <si>
    <t>Reconciliation done as part of month-end in Certinia. Intercompany requires project-by-project analysis. Finance teams coordinate timing manually to minimise residual balances.</t>
  </si>
  <si>
    <t>Reconciliation process with clients is good but manual. Maconomy aging not always source of truth. Payment/collections visibility not fully integrated.</t>
  </si>
  <si>
    <t>Reconciliation exported to Excel from Fusion, done in Excel, then uploaded back to Fusion. No unbilled WIP tracked. Monthly reconciliation of projects in EU.</t>
  </si>
  <si>
    <t>In transition to GFS. GFS uses Certinia for collections and initial escalations. Cash forecasting remains divisional and Excel-based. Cash application in Oracle with payment status fed to Certinia but visibility restricted by licensing.</t>
  </si>
  <si>
    <t>Collections reporting handled by GFS. Evoke re-engages on escalations/disputes. Payment/collections visibility not fully integrated. DSO and cash collection rate tracked.</t>
  </si>
  <si>
    <t>US: Dawn's team chases first then escalates to Engage Finance. Finance team has client relationship from beginning to end. EU: GFS only in UK/Ire/Canada - rest done by local teams. 80% of unpaid invoices are client challenges. Advanced collection not set up in EU.</t>
  </si>
  <si>
    <t>Cash application in Oracle. Payment status fed back to Certinia but visibility limited by finance license restrictions. Friday cash application is clunky due to overnight statement imports.</t>
  </si>
  <si>
    <t>Maconomy aging not always source of truth for collections. Collections reconciliation occurs outside main project tool. Split-source reporting creates burden.</t>
  </si>
  <si>
    <t>US: Collections measured, group gives metrics to Engage Finance. EU: GFS only UK/Ire/Canada. Other countries: local teams manage collections directly.</t>
  </si>
  <si>
    <t>Moving to GFS management with local team support. AMC UK and US already within GFS. Manual AP/portal checks ongoing.</t>
  </si>
  <si>
    <t>Cash application in Oracle. Fed back to Certinia. Friday cash received is manually applied due to bank statement timing limitations.</t>
  </si>
  <si>
    <t>Cash receipts applied outside Maconomy. No full integration back to project/billing system.</t>
  </si>
  <si>
    <t>Cash application through Oracle. Monthly operating cash meetings with group CFO/CEO review forecasts.</t>
  </si>
  <si>
    <t>Cash receipts managed through Oracle. Collections team checks portals and AP departments manually.</t>
  </si>
  <si>
    <t>GFS handles initial escalations via Certinia. Division still involved when further escalation needed. Dawn's team makes initial recommendation, division signs off.</t>
  </si>
  <si>
    <t>GFS handles collections outreach. Evoke re-engages only when there are escalations or disputes that GFS can't resolve.</t>
  </si>
  <si>
    <t>US: Dawn's team chases for first 5 days then escalates to Engage Finance (local finance, not delivery). Finance has client relationship. EU: Mostly local teams - 80% of unpaid invoices are client challenges.</t>
  </si>
  <si>
    <t>GFS informs local teams but works directly with ops teams. Collections managed by GFS with escalation to divisional finance for client-specific issues.</t>
  </si>
  <si>
    <t>Division involved in dispute resolution. Collections linked to invoice quality and dispute handling.</t>
  </si>
  <si>
    <t>Evoke re-engages when GFS encounters disputes. Dispute resolution involves division directly.</t>
  </si>
  <si>
    <t>Finance team has direct client relationship for dispute resolution. US: escalation via calls, emails, texts. EU: Local teams handle directly.</t>
  </si>
  <si>
    <t>GFS handles initial dunning and outreach. Escalation to divisional finance for client-specific issues requiring relationship management.</t>
  </si>
  <si>
    <t>Cash forecasting done by div finance in Excel. No system-based forecasting tool for cash. Weekly direct submission and 3-month outlook.</t>
  </si>
  <si>
    <t>Cash collection rate reported by GFS. No detailed cash forecasting by Evoke. Collections reporting is split-source.</t>
  </si>
  <si>
    <t>Cash forecasting in Excel by local finance. Multiple forecasts: weekly, monthly, 3-month. Separate group and treasury forecasts. Credit card spend adds complexity. Monthly operating cash meetings with CFO/CEO.</t>
  </si>
  <si>
    <t>Cash reporting done weekly with direct and indirect submissions. 3-month outlook. Working on Excel files. Automated cash flow forecasting initiative underway but pending approvals.</t>
  </si>
  <si>
    <t>Manual Excel-based cash forecast. Fed into group reporting. Bank statement import timing creates workarounds.</t>
  </si>
  <si>
    <t>No dedicated Evoke cash forecasting process described. Reliant on GFS for collection reporting.</t>
  </si>
  <si>
    <t>Weekly forecast, monthly forecast, and 3-month rolling forecast all done manually in Excel using Fusion reports with local finance inputs.</t>
  </si>
  <si>
    <t>PRFM for revenue forecasting. Cash forecasting done in Excel. Working on automating AP/AR ledger data inputs.</t>
  </si>
  <si>
    <t>PowerBI reporting on top of Certinia. Cash forecasting is Excel-based and separate from project/revenue reporting.</t>
  </si>
  <si>
    <t>Reporting done through GFS collections reports. No Evoke-specific cash forecast reporting tool.</t>
  </si>
  <si>
    <t>Excel-based reporting. Multiple report types required: group, treasury, client-specific (e.g., J&amp;J cross-functional). Clients want custom formats. 5027 report for monthly operating cash meetings.</t>
  </si>
  <si>
    <t>Future Opportunity</t>
  </si>
  <si>
    <t>Forecast Tool</t>
  </si>
  <si>
    <t>OTC Data Model — Key Data Elements for Workshop Discussion</t>
  </si>
  <si>
    <t>OTC Stage</t>
  </si>
  <si>
    <t>Data Element</t>
  </si>
  <si>
    <t>Definition &amp; Description</t>
  </si>
  <si>
    <t>Key Attributes</t>
  </si>
  <si>
    <t>Business Rules &amp; Thresholds
(For Discussion)</t>
  </si>
  <si>
    <t>Current System(s) of Record</t>
  </si>
  <si>
    <t>Known Issues &amp; Gaps</t>
  </si>
  <si>
    <t>1. Order Capture</t>
  </si>
  <si>
    <t>Customer / Client</t>
  </si>
  <si>
    <t>The legal entity or organisation purchasing services from an Inizio division. Represents the billable party and the top-level commercial relationship.</t>
  </si>
  <si>
    <t>Customer ID, Legal Name, Trading Name, Parent Account, Bill-to Address, Ship-to Address, Tax ID, Payment Terms, Credit Limit, Industry, Territory</t>
  </si>
  <si>
    <t>What is the minimum engagement value to create a formal customer record (e.g. &gt;$10k)?
Should a single global customer ID span all divisions?
Who owns the parent-child hierarchy — and in which system?
What naming convention applies across entities (e.g. "the ever-changing Inizio entity names")?</t>
  </si>
  <si>
    <t>HubSpot (prospect/pipeline)
Certinia (Ignite)
Maconomy (Evoke/Engage)
Oracle Fusion (GL/AP/AR)
Oracle EPM (planning)</t>
  </si>
  <si>
    <t>No single source of truth — each system maintains its own master data independently. Parent-child hierarchies inconsistent across HubSpot, Certinia, and Oracle. Entity naming conventions change over time. No clear data steward or governance process.</t>
  </si>
  <si>
    <t>Account Hierarchy</t>
  </si>
  <si>
    <t>The parent-child structure linking related legal entities, subsidiaries, and trading entities under a single client umbrella.</t>
  </si>
  <si>
    <t>Grandparent Account, Parent Account, Child Account, Relationship Type, Hierarchy Level, Effective Date</t>
  </si>
  <si>
    <t>How many levels of hierarchy are needed (2? 3?)?
Who is the data owner for cross-system hierarchy maintenance?
How should acquisitions/name changes be handled — retroactively or point-forward?</t>
  </si>
  <si>
    <t>HubSpot, Certinia, Oracle Fusion (each maintains own version)</t>
  </si>
  <si>
    <t>"Not really clear who owns that hierarchy." Hierarchies in HubSpot do not always match Certinia or Oracle. No automated sync of hierarchy changes across systems.</t>
  </si>
  <si>
    <t>Opportunity / Deal</t>
  </si>
  <si>
    <t>A qualified sales opportunity representing potential revenue. Tracked through deal stages from prospect to closed-won.</t>
  </si>
  <si>
    <t>Opportunity ID, Deal Name, Stage, Probability, Expected Value, Expected Close Date, Division, Service Line, Owner, Associated Customer</t>
  </si>
  <si>
    <t>What is the minimum deal size to track in HubSpot (e.g. &gt;$10k? &gt;$25k?)?
At what stage does an opportunity become a firm forecast inclusion?
Should renewals and extensions be tracked as new opportunities or amendments?</t>
  </si>
  <si>
    <t>HubSpot (all divisions)
Certinia (Ignite — dual sync)
Maconomy (Evoke — no HubSpot integration)</t>
  </si>
  <si>
    <t>Vynamic logs opportunities in both HubSpot and Certinia (dual sync). HubSpot-to-Maconomy integration does not exist for Evoke. Deal structure in Vynamic differs from Putnam. Renewals process not consistently captured.</t>
  </si>
  <si>
    <t>Contract / MSA</t>
  </si>
  <si>
    <t>The Master Services Agreement — the overarching legal framework governing the commercial relationship with a client. Defines standard terms, liability, IP, and confidentiality.</t>
  </si>
  <si>
    <t>Contract ID, Client, Effective Date, Expiry Date, Auto-Renewal Flag, Standard/Non-Standard Terms, Signed Copy Location, Contract Status</t>
  </si>
  <si>
    <t>What is the threshold for requiring a formal MSA vs. a simplified letter agreement (e.g. &gt;$50k annual value?)?
What constitutes a "material amendment" requiring re-approval?
Maximum contract term before mandatory review?</t>
  </si>
  <si>
    <t>HighQ (some divisions)
Certinia (Ignite)
Teams/Network Drives (ad hoc)
No CLM system in place</t>
  </si>
  <si>
    <t>Contracts stored offline across multiple locations — no single repository. No e-signature (DocuSign) workflow. No CLM for version control, renewal tracking, or obligation management. Storage varies by division.</t>
  </si>
  <si>
    <t>Statement of Work (SOW)</t>
  </si>
  <si>
    <t>A project-level agreement under an MSA that defines scope, deliverables, pricing, timeline, and resourcing for a specific engagement.</t>
  </si>
  <si>
    <t>SOW ID, Associated MSA, Scope Description, Fee Type (Fixed/T&amp;M/Hybrid), Total Value, Start Date, End Date, Billing Milestones, Rate Card Reference, PO Requirement Flag</t>
  </si>
  <si>
    <t>What is the minimum SOW value that justifies full project setup (e.g. &gt;$10k?)?
Should micro-engagements (&lt;$5k) follow a simplified process?
How should scope changes/amendments be numbered and tracked?
What % variance from original SOW triggers re-approval?</t>
  </si>
  <si>
    <t>Created manually (Word/PDF)
Stored in Certinia / Maconomy / HighQ / Teams drives
HubSpot captures summary fields</t>
  </si>
  <si>
    <t>SOW creation is entirely manual — no template library or AI extraction. Pricing models frequently built in Excel then entered separately into HubSpot and Certinia. No automated SOW-to-project setup.</t>
  </si>
  <si>
    <t>Purchase Order (PO)</t>
  </si>
  <si>
    <t>The client's formal authorisation to bill against a SOW. Required by many clients before invoicing can begin.</t>
  </si>
  <si>
    <t>PO Number, Client, SOW Reference, PO Value, Currency, Validity Period, PO Line Items, Remaining Balance, Status</t>
  </si>
  <si>
    <t>Oracle currently supports only one PO per contract — is this the target state or does multi-PO need to be enabled?
What is the tolerance for PO value vs. SOW value mismatch (e.g. within 5%)?
How should PO renewals/extensions be handled?
What triggers a PO balance alert (e.g. 80% consumed)?</t>
  </si>
  <si>
    <t>Oracle Fusion (AR)
Certinia (Ignite)
Maconomy (Evoke/Engage)</t>
  </si>
  <si>
    <t>Oracle only holds one PO per contract — workaround "Part 2" contracts split financial records. POs arrive via email, portals, or direct contact with no unified intake. No automated PO-to-SOW matching.</t>
  </si>
  <si>
    <t>2. Demand &amp; Supply Planning</t>
  </si>
  <si>
    <t>Revenue Forecast</t>
  </si>
  <si>
    <t>The projected revenue for a defined period, combining contracted backlog, weighted pipeline, and expected renewals.</t>
  </si>
  <si>
    <t>Forecast Period, Division, Entity, Contracted Revenue, Weighted Pipeline, Expected Renewals, Forecast Confidence, Variance to Prior, Forecast Owner</t>
  </si>
  <si>
    <t>What is the forecast cadence — monthly, quarterly, rolling 12-month?
At what pipeline probability should deals enter the forecast (e.g. &gt;50%? &gt;75%?)?
How should intercompany/cross-entity revenue be counted — at source or destination?
What variance threshold triggers an escalation review?</t>
  </si>
  <si>
    <t>Oracle EPM (target)
Certinia (Ignite — partial)
Excel / Power BI (all divisions)</t>
  </si>
  <si>
    <t>EPM not used for scenario planning despite being available. System timeouts and freezes drive users to Excel. Forecasting managed entirely in Excel for Evoke and Engage. No link between Workday and forecast for true project profitability.</t>
  </si>
  <si>
    <t>Resource / Staff Assignment</t>
  </si>
  <si>
    <t>The allocation of named individuals (FTEs, contractors, freelancers) to specific projects, including role, utilisation %, and time period.</t>
  </si>
  <si>
    <t>Employee ID, Name, Role, Division, Project Assignment, Allocation %, Start Date, End Date, Cost Rate, Bill Rate, Employee Type (FTE/Contractor)</t>
  </si>
  <si>
    <t>What is the minimum allocation % that counts as "assigned" (e.g. &gt;10%)?
How far ahead should resource plans extend (e.g. 90 days? 6 months?)?
What utilisation target defines "fully staffed"?
How are freelancer-to-FTE conversions handled in the system?</t>
  </si>
  <si>
    <t>Certinia PSA (Ignite)
Maconomy (Evoke/Engage)
Workday (HR source)
Excel (workforce planning)</t>
  </si>
  <si>
    <t>Workday does not sync with Maconomy — name, title, LOA, employee type changes require manual updates. No PSA-based resource matching in Evoke/Engage. Ignite auto-loads from Workday; others are manual.</t>
  </si>
  <si>
    <t>3. Service Delivery</t>
  </si>
  <si>
    <t>The operational delivery unit — a structured container for tracking time, costs, budgets, milestones, and revenue against a SOW.</t>
  </si>
  <si>
    <t>Project ID, Project Name, Client, SOW Reference, Project Manager, Status, Start Date, End Date, Fee Type, Budget, Division, Entity</t>
  </si>
  <si>
    <t>Should every SOW create exactly one project, or can a SOW span multiple sub-projects?
What is the maximum project duration before mandatory review?
When should a project be marked "Closed" — final deliverable or final payment?
What is the definition of an "active" project for reporting?</t>
  </si>
  <si>
    <t>Certinia (Ignite — Putnam/Vynamic/RP/STEM)
Maconomy (Evoke/Engage)
Oracle PPM (Medical)</t>
  </si>
  <si>
    <t>Certinia configured differently across Ignite entities — "three, maybe three sets of configurations." 800+ unique project templates in Oracle (Medical). No automated SOW-to-project creation. RP going live April, STEM not yet aligned.</t>
  </si>
  <si>
    <t>Budget</t>
  </si>
  <si>
    <t>The financial plan for a project, defining expected revenue, costs, and margin. May include contract budget (client-signed value) and working budget (internal delivery estimate).</t>
  </si>
  <si>
    <t>Budget ID, Project, Contract Budget, Working Budget, Budget Type (Fixed/T&amp;M), Labour Cost, Other Cost, Passthrough, Margin %, Budget Status, Approval Date</t>
  </si>
  <si>
    <t>What variance between contract budget and working budget is acceptable (e.g. within 10%)?
At what % budget consumed should alerts trigger (e.g. 75%, 90%)?
How should budget increases be approved — same authority as original or escalated?
Should passthrough costs be included in budget or tracked separately?</t>
  </si>
  <si>
    <t>Certinia (Ignite)
Maconomy (Evoke/Engage)
Oracle PPM (Medical)
Excel (all — supplementary)</t>
  </si>
  <si>
    <t>Maconomy requires dual budget entry ("contract budget" and "working budget"). Pricing models built in Excel then entered separately. EPM loaded manually even though data exists in Workday/Certinia. Frequent budget changes within SOWs (Evoke).</t>
  </si>
  <si>
    <t>Timesheet / Timecard</t>
  </si>
  <si>
    <t>A record of hours worked by an individual against a specific project, task, and date. The primary input for T&amp;M billing and utilisation reporting.</t>
  </si>
  <si>
    <t>Timecard ID, Employee, Project, Task, Date, Hours, Billable Flag, Approval Status, Submitted Date, Approved By</t>
  </si>
  <si>
    <t>What is the submission deadline (e.g. every Friday by 5pm?)?
What is the maximum retrospective correction period (e.g. current month only?)?
What threshold of missing timesheets triggers automated escalation?
Should non-billable time categories be standardised across divisions?</t>
  </si>
  <si>
    <t>Certinia (Ignite)
Maconomy (Evoke/Engage)
Oracle PPM (Medical — UK only)
Excel (Medical — other geos)</t>
  </si>
  <si>
    <t>RevOps spends significant time chasing and reviewing submissions. Users cannot self-correct in some systems — must raise tickets (Maconomy) or email finance. Medical uses different systems by geography. No standardised non-billable categories.</t>
  </si>
  <si>
    <t>Expense</t>
  </si>
  <si>
    <t>Out-of-pocket costs incurred by staff and charged to a project (travel, accommodation, materials, etc.).</t>
  </si>
  <si>
    <t>Expense ID, Employee, Project, Category, Amount, Currency, Date, Receipt Flag, Billable/Non-Billable, Client Reimbursable, Approval Status</t>
  </si>
  <si>
    <t>What expense categories are billable to clients vs. absorbed internally?
What is the per-item approval threshold (e.g. &gt;$500 requires manager sign-off?)?
What is the maximum claim period (e.g. within 60 days of incurrence?)?
Should passthrough expenses follow a different approval path?</t>
  </si>
  <si>
    <t>Concur (most divisions)
Certinia expense module (Ignite)
Oracle (Medical)</t>
  </si>
  <si>
    <t>Concur used but not integrated cleanly across all divisions. Ignite uses Certinia expense reports, not Concur. Varying expense systems across divisions AND geographies.</t>
  </si>
  <si>
    <t>Milestone</t>
  </si>
  <si>
    <t>A defined deliverable or progress marker within a project that may trigger billing, revenue recognition, or client approval.</t>
  </si>
  <si>
    <t>Milestone ID, Project, Description, Type (Billing/Revenue/Delivery), Target Date, Actual Date, Value, Status, Client Acceptance Required, Approved By</t>
  </si>
  <si>
    <t>Should billing milestones and revenue milestones be treated as the same or separate entities?
What evidence constitutes "client acceptance" — email, portal sign-off, formal letter?
What is the tolerance for milestone date slippage before escalation?
Can milestones be partially completed?</t>
  </si>
  <si>
    <t>Certinia (Ignite — partial)
Maconomy (Evoke/Engage — manual)
Oracle PPM (Medical — no milestones)</t>
  </si>
  <si>
    <t>Medical sends milestone progress via Excel to finance for upload. Certinia not configured to support revenue recognition on milestones for all entities. No automated milestone triggers. Finance manually marks milestones and validates revenue readiness.</t>
  </si>
  <si>
    <t>4. Revenue Recognition</t>
  </si>
  <si>
    <t>Revenue Event</t>
  </si>
  <si>
    <t>A transaction that records earned revenue against a project, applying the appropriate recognition method (over time, point in time, percentage of completion).</t>
  </si>
  <si>
    <t>Revenue Event ID, Project, Period, Recognition Method, Gross Amount, Adjustment Amount, Net Amount, Status, Journal Reference, Approval Status</t>
  </si>
  <si>
    <t>Which recognition method applies by fee type — T&amp;M (as delivered), Fixed Fee (POC or milestone), Hybrid?
What is the minimum revenue event threshold to avoid micro-postings (e.g. &gt;$100?)?
What constitutes a "material" revenue adjustment requiring senior approval?
How should intercompany revenue be recognised — at contract or delivery entity level?</t>
  </si>
  <si>
    <t>Certinia (Ignite — partially automated)
Maconomy (Evoke/Engage — manual)
Oracle (Medical — manual POC files)</t>
  </si>
  <si>
    <t>Revenue recognition requires manual intervention across all divisions. Certinia not configured for milestone-based rev rec in all Ignite entities. Lack of reasonableness checks (Evoke). Medical uses manual POC files. Approaches vary: billing milestones vs. revenue milestones vs. time-based.</t>
  </si>
  <si>
    <t>Accrued / Deferred Revenue</t>
  </si>
  <si>
    <t>Revenue recognised but not yet billed (accrued) or billed but not yet earned (deferred). Critical for accurate financial reporting.</t>
  </si>
  <si>
    <t>Project, Period, Accrued Amount, Deferred Amount, Ageing Bucket, Reason Code, Resolution Owner, Expected Resolution Date</t>
  </si>
  <si>
    <t>What ageing threshold triggers review of accrued revenue (e.g. &gt;60 days unbilled?)?
What deferred revenue balance requires escalation?
How should OA (on account) / parent invoicing impact accrual treatment?
What is the maximum period revenue can remain accrued before write-off review?</t>
  </si>
  <si>
    <t>Certinia (Ignite)
Maconomy (Evoke/Engage)
Oracle (Medical)</t>
  </si>
  <si>
    <t>Accrued and deferred revenue builds up due to OA invoicing or parent invoicing (Evoke). Revenue recognised at sub-project level but billings need offsetting. Passthrough cost and revenue not cleanly handled — Certinia set up before material passthrough volumes existed.</t>
  </si>
  <si>
    <t>5. Invoicing &amp; Billing</t>
  </si>
  <si>
    <t>A formal billing document issued to the client for services rendered, based on agreed milestones, time &amp; materials, or fixed-fee schedules.</t>
  </si>
  <si>
    <t>Invoice Number, Client, Project, PO Reference, Invoice Date, Due Date, Currency, Line Items, Gross Amount, Tax, Net Amount, Status, Delivery Method</t>
  </si>
  <si>
    <t>What is the minimum invoice value to issue (e.g. &gt;$500? &gt;$1,000?)?
What is the standard payment term by client tier (e.g. Net 30, Net 45, Net 60?)?
Should draft invoices require business approval or only GFS quality review?
What is the maximum number of line items per invoice before splitting?</t>
  </si>
  <si>
    <t>Certinia (Ignite)
Maconomy (Evoke/Engage)
Oracle AR (Medical)
Client portals (Tungsten, Ariba, etc.)</t>
  </si>
  <si>
    <t>No automatic invoice generation in Evoke. Invoice creation still requires manual user action in Certinia. 50%+ portal-based submission for Engage. Invoicing is a mix of hours, supplier costs, milestones, and software utilisation. Manual portal entry for large volumes.</t>
  </si>
  <si>
    <t>Billing Plan / Schedule</t>
  </si>
  <si>
    <t>The planned invoicing schedule for a project, defining when and how much will be billed over the engagement lifecycle.</t>
  </si>
  <si>
    <t>Plan ID, Project, Billing Frequency, Milestone Schedule, Planned Amount per Period, Currency, Fee Type, PO Linkage, Status</t>
  </si>
  <si>
    <t>Should billing plans be mandatory for all projects or only above a threshold (e.g. &gt;$25k?)?
What is the standard billing frequency by fee type (T&amp;M = monthly, Fixed = milestone?)?
What tolerance for billing plan vs. actual invoicing variance before review?
How should "billing on behalf" (intercompany) plans be structured?</t>
  </si>
  <si>
    <t>Certinia (Ignite)
Maconomy (Evoke — invoicing plan module)
Oracle (Medical)</t>
  </si>
  <si>
    <t>Maconomy invoicing plan module exists but if invoicing is not raised through it, amounts appear unbilled. Tickbox needed to flag manual invoicing. Different bill plan structures across divisions.</t>
  </si>
  <si>
    <t>6. Collections</t>
  </si>
  <si>
    <t>Payment / Cash Receipt</t>
  </si>
  <si>
    <t>A payment received from a client against one or more outstanding invoices. Must be matched and applied to clear AR balances.</t>
  </si>
  <si>
    <t>Payment ID, Client, Amount, Currency, Payment Date, Payment Method, Bank Reference, Applied Invoice(s), Unapplied Amount, Status</t>
  </si>
  <si>
    <t>What is the auto-match tolerance for payment-to-invoice matching (e.g. within $1? within 1%?)?
What is the target DSO (Days Sales Outstanding) by division?
How should partial payments be allocated — oldest invoice first or pro-rata?
What payment ageing triggers escalation to collections?</t>
  </si>
  <si>
    <t>Oracle Fusion (cash application)
Certinia (payment feeds)
Bank integrations</t>
  </si>
  <si>
    <t>Cash application happens in Oracle with feeds to Certinia. Hope Bot handles some automation but only operates Monday-Thursday. Treasury needs real-time cash receipting. GFS transition at different stages across divisions.</t>
  </si>
  <si>
    <t>AR Ageing / Dispute</t>
  </si>
  <si>
    <t>An outstanding receivable that is overdue or contested by the client, requiring investigation and resolution.</t>
  </si>
  <si>
    <t>Dispute ID, Invoice Reference, Client, Dispute Reason, Ageing Bucket (Current/30/60/90/120+), Amount, Owner, Status, Resolution Date, Credit Note Reference</t>
  </si>
  <si>
    <t>What ageing buckets should be reported (30/60/90/120+ days?)?
At what ageing threshold does a dispute require senior finance involvement (e.g. &gt;90 days?)?
What is the write-off authority limit by role (e.g. &lt;$5k = Finance Manager, &gt;$5k = Finance Director?)?
How should credit notes be linked to original invoices and POs?</t>
  </si>
  <si>
    <t>Oracle Fusion (AR)
Excel (cash forecasting — all divisions)
PFRM bolt-on (Medical)</t>
  </si>
  <si>
    <t>Split ownership between GFS and divisions for collections outreach. Cash forecasting entirely Excel-based. Client services unable to see payment status — "potentially due to licensing." Teams spend too much time identifying the right finance contact for cross-entity disputes.</t>
  </si>
  <si>
    <t>Cross-Cutting</t>
  </si>
  <si>
    <t>Intercompany Transaction</t>
  </si>
  <si>
    <t>A financial transaction between Inizio legal entities — e.g. when one entity delivers services under another entity's client contract.</t>
  </si>
  <si>
    <t>IC Transaction ID, Source Entity, Destination Entity, Project, Amount, Currency, Transfer Pricing Method, IC Invoice Reference, Elimination Status</t>
  </si>
  <si>
    <t>What transfer pricing method applies (cost-plus, market rate, pre-agreed %)?
How should intercompany revenue vs. cost be recognised — simultaneously or with a lag?
What is the maximum IC balance before mandatory netting/settlement?
Should IC invoices follow the same approval workflow as external?</t>
  </si>
  <si>
    <t>Certinia (Ignite)
Maconomy (Evoke/Engage)
Oracle Fusion (consolidation)</t>
  </si>
  <si>
    <t>Certinia does not natively support all required multi-entity revenue scenarios. Teams spend too much time identifying which entity owns the contract. Accrued/deferred/intercompany balances not properly aligned across entities.</t>
  </si>
  <si>
    <t>Passthrough Cost / Revenue</t>
  </si>
  <si>
    <t>Third-party costs incurred on behalf of a client (e.g. media spend, vendor costs, travel) that are passed through at cost or with a markup.</t>
  </si>
  <si>
    <t>Passthrough ID, Project, Vendor, Cost Amount, Markup %, Client Billable Amount, Cost Category, Invoice Linkage, Status</t>
  </si>
  <si>
    <t>What is the standard passthrough markup % (0%? 5%? 10%?)?
Should passthrough be included in project budget or tracked as a separate line?
What approval threshold applies for passthrough commitments (e.g. &gt;$10k?)?
How should passthrough revenue be recognised — when incurred or when billed?</t>
  </si>
  <si>
    <t>Certinia was set up before material passthrough volumes existed — configuration gaps. Manual allocation of passthrough costs across projects. Treatment varies significantly by division.</t>
  </si>
  <si>
    <t>Note: Business rules &amp; thresholds (amber column) are proposed starting points for workshop discussion — not final decisions. Known issues are drawn from WS1/WS2/WS3 workshop findings.</t>
  </si>
  <si>
    <t>Client Services (Innovation &amp; Growth)</t>
  </si>
  <si>
    <t>Client Services (BD team)</t>
  </si>
  <si>
    <t>Div. Finance (transitioning to GFS)</t>
  </si>
  <si>
    <t>Project Operations</t>
  </si>
  <si>
    <t>Operations / Div. Finance</t>
  </si>
  <si>
    <t>GFS (Oracle Support)</t>
  </si>
  <si>
    <t>Client Services / Legal</t>
  </si>
  <si>
    <t>Client Services (Account Managers)</t>
  </si>
  <si>
    <t>Client Services / Project Operations</t>
  </si>
  <si>
    <t>Client Services (BD / Account Managers)</t>
  </si>
  <si>
    <t>Client Services / Div. Finance</t>
  </si>
  <si>
    <t>Client Services / Operations (Resource Mgmt)</t>
  </si>
  <si>
    <t>Project Operations / Div. Finance</t>
  </si>
  <si>
    <t>Project Operations (Project Manager)</t>
  </si>
  <si>
    <t>Staffing / Innovation &amp; Growth</t>
  </si>
  <si>
    <t>Client Services (Innovation &amp; Growth) / Div. Finance</t>
  </si>
  <si>
    <t>Client Services (BD) / Div. Finance</t>
  </si>
  <si>
    <t>Operations (Resource Mgmt) / Div. Finance</t>
  </si>
  <si>
    <t>Operations (Resource Mgmt)</t>
  </si>
  <si>
    <t>Staffing / Div. Finance</t>
  </si>
  <si>
    <t>Operations / Project Operations</t>
  </si>
  <si>
    <t>Client Services (Innovation &amp; Growth) / Staffing</t>
  </si>
  <si>
    <t>Operations (Recruitment via Avature in EU)</t>
  </si>
  <si>
    <t>Operations (Project Management)</t>
  </si>
  <si>
    <t>Operations (Project Mgmt / Recruitment)</t>
  </si>
  <si>
    <t>Staffing / Client Services</t>
  </si>
  <si>
    <t>Operations / Client Services</t>
  </si>
  <si>
    <t>Project Operations / Client Services</t>
  </si>
  <si>
    <t>Staffing / Project Operations</t>
  </si>
  <si>
    <t>Div. Finance / Operations</t>
  </si>
  <si>
    <t>Project Operations / GFS</t>
  </si>
  <si>
    <t>Commercial Finance / Div. Finance</t>
  </si>
  <si>
    <t>TBD</t>
  </si>
  <si>
    <t>To-be OTC Process Design (DRAFT - FOR DISCUSSION)</t>
  </si>
  <si>
    <t>As-Is
Owner
(EVOKE)</t>
  </si>
  <si>
    <t>As-Is
Owner
(IGNITE)</t>
  </si>
  <si>
    <t>As-Is
Owner
(ENGAGE)</t>
  </si>
  <si>
    <t>As-Is
Owner
(MEDICAL)</t>
  </si>
  <si>
    <t>3.1.6</t>
  </si>
  <si>
    <t>Missing Timesheet Reminder</t>
  </si>
  <si>
    <t>Timesheet Submitted?</t>
  </si>
  <si>
    <t>Determine whether timesheet was submitted timely and complete</t>
  </si>
  <si>
    <t>3.1.7</t>
  </si>
  <si>
    <t>Client Finance</t>
  </si>
  <si>
    <t>Revenue operations sends manual email reminders</t>
  </si>
  <si>
    <t>Revenue Operations</t>
  </si>
  <si>
    <t>3.1.8</t>
  </si>
  <si>
    <t>Resources can edit timesheets if the project is open and they're assigned to the project code; even if invoice is issued because billing is milestone-driven</t>
  </si>
  <si>
    <t>Timesheet Adjustment Required?</t>
  </si>
  <si>
    <t>Determine whether a submitted timesheet needs to be reopened for corrections</t>
  </si>
  <si>
    <t>3.1.9</t>
  </si>
  <si>
    <t>Process Timesheet Adjustments</t>
  </si>
  <si>
    <t>Correct submitted or posted timesheets after approval where changes are required due to missing, incorrect or miscoded time entries</t>
  </si>
  <si>
    <t>3.4.1.1</t>
  </si>
  <si>
    <t>Forecast-to-Complete Calculation</t>
  </si>
  <si>
    <t>3.4.1.2</t>
  </si>
  <si>
    <t>Calculate forecast-to-complete based on project progress, milestone status and remaining effort</t>
  </si>
  <si>
    <t>Percentage of Completion (PoC) Update</t>
  </si>
  <si>
    <t>Update task, phase, milestone and project PoC in PSA based on latest delivery progress</t>
  </si>
  <si>
    <t>Submit Deliverables For Client Review</t>
  </si>
  <si>
    <t>3.4.2.5</t>
  </si>
  <si>
    <t>Share deliverables and supporting evidence with client for review</t>
  </si>
  <si>
    <t>TBC</t>
  </si>
  <si>
    <t>Record client acceptance and supporting sign-off evidence</t>
  </si>
  <si>
    <t>Billing Trigger Condition Met?</t>
  </si>
  <si>
    <t>3.4.4.1</t>
  </si>
  <si>
    <t>3.4.4.2</t>
  </si>
  <si>
    <t>3.4.4.3</t>
  </si>
  <si>
    <t>Automatically determine whether milestone completion, PoC update or time elapsed meets billing trigger conditions</t>
  </si>
  <si>
    <t>Billing Event Creation</t>
  </si>
  <si>
    <t>Automatically create billing event based on milestone completion, accepted deliverable, PoC billing or time elapsed trigger</t>
  </si>
  <si>
    <t>Billing Notification Triggered</t>
  </si>
  <si>
    <t>Automatically notify Billing team of billable milestone or progress event</t>
  </si>
  <si>
    <t>Automatically receives purchase order (PO) from client via agreed channel(s) (e.g., email, portal, EDI)</t>
  </si>
  <si>
    <t>To-be RACI –
Responsible</t>
  </si>
  <si>
    <t>To-be RACI –
Accountable</t>
  </si>
  <si>
    <t>To-be RACI –
Contributing</t>
  </si>
  <si>
    <t>Please review and enter comments in your respective column</t>
  </si>
  <si>
    <t>GFS Comments</t>
  </si>
  <si>
    <t>Evoke Comments</t>
  </si>
  <si>
    <t>Ignite Comments</t>
  </si>
  <si>
    <t>Engage Comments</t>
  </si>
  <si>
    <t>Medical Comments</t>
  </si>
  <si>
    <t>Nice to have (20, not 80)</t>
  </si>
  <si>
    <t>CONSIDER Client templates (Pfizer)</t>
  </si>
  <si>
    <t>COMMON ERROR: Incorrect LE (at agency level); match to SOW. Owner? SLA?</t>
  </si>
  <si>
    <t>OPEN: Medical - MSAs and Global Pos; no SOW)</t>
  </si>
  <si>
    <t>Extract and structure key scope, pricing and billing data from the SOW to support project setup, revenue recognition and invoicing process. Flag whether document is New or Amended. Link to parent SOW, if applicable. Automatically capture data extractions and feed into PSA or ERP</t>
  </si>
  <si>
    <t>Purpose: Facilitate alignment on core data definitions, business rules, and thresholds across Divisions</t>
  </si>
  <si>
    <t>6.3.1.1</t>
  </si>
  <si>
    <t>6.3.1.2</t>
  </si>
  <si>
    <t>6.3.1.3</t>
  </si>
  <si>
    <t>EPM</t>
  </si>
  <si>
    <t>AR &amp; Cash Data Refresh</t>
  </si>
  <si>
    <t>Refresh AR balances, payment commitments and collection activity for cash forecasting</t>
  </si>
  <si>
    <t>Direct Cash Forecast (Weekly)</t>
  </si>
  <si>
    <t>ERP / Treasury Tool</t>
  </si>
  <si>
    <t>Generate cash flow forecast based on revenue forecast and working capital assumptions</t>
  </si>
  <si>
    <t>Generate weekly cash forecast based on AR, AP and known cash movements</t>
  </si>
  <si>
    <t>Indirect Cash Forecast (Quarterly)</t>
  </si>
  <si>
    <t>6.3.2.1</t>
  </si>
  <si>
    <t>Automatically update actual cash receipts in the forecast model for variance analysis</t>
  </si>
  <si>
    <t>Actual Cash Receipts Update</t>
  </si>
  <si>
    <t>6.3.2.2</t>
  </si>
  <si>
    <t>Investigate &amp; Explain Material Variances</t>
  </si>
  <si>
    <t>Identify root cause of significant forecast-to-actual variances. Document explanations for reporting.</t>
  </si>
  <si>
    <t>6.3.2.3</t>
  </si>
  <si>
    <t>6.3.2.4</t>
  </si>
  <si>
    <t>Compare actual cash receipts to weekly forecast and quantify variances by client, aging bucket and collection status</t>
  </si>
  <si>
    <t>Direct Forecast Variance Analysis</t>
  </si>
  <si>
    <t>Indirect Forecast Variance Analysis</t>
  </si>
  <si>
    <t>ERP/ EPM</t>
  </si>
  <si>
    <t>Compare actual cash receipts to indirect forecast and quantify variances by forecast driver (e.g., revenue timing, DSO assumptions)</t>
  </si>
  <si>
    <t>Risk &amp; Collections Issue Identification</t>
  </si>
  <si>
    <t>Submit Forecast to Central Finance / Treasury</t>
  </si>
  <si>
    <t>6.3.3.1</t>
  </si>
  <si>
    <t>6.3.3.2</t>
  </si>
  <si>
    <t>6.3.3.3</t>
  </si>
  <si>
    <t>6.3.3.4</t>
  </si>
  <si>
    <t>Direct Cash Forecast Reporting (Weekly)</t>
  </si>
  <si>
    <t>Indirect Cash Forecast Reporting (Quarterly)</t>
  </si>
  <si>
    <t>Prepare and review weekly cash forecast and actuals by client, aging bucket and collection status</t>
  </si>
  <si>
    <t>Prepare cash flow forecast reporting including forecast, actuals and key drivers</t>
  </si>
  <si>
    <t>Submit cash forecast and reporting pack to central finance and treasury per group reporting calendar.</t>
  </si>
  <si>
    <t>Report variances and highlight risks and collection issues by client/aging profile and driver/assumption</t>
  </si>
  <si>
    <t>6.1.1.1</t>
  </si>
  <si>
    <t>Generate AR Aging Report from ERP</t>
  </si>
  <si>
    <t>Segment &amp; Prioritise Outstanding Balances</t>
  </si>
  <si>
    <t>Generate AR aging report showing outstanding invoices by client, entity, due date and days overdue</t>
  </si>
  <si>
    <t>Categorise outstanding AR by aging bucket, client risk, value and entity. Identify invoices requiring immediate attention (e.g., high risk balances)</t>
  </si>
  <si>
    <t>6.1.2.1</t>
  </si>
  <si>
    <t>6.1.2.2</t>
  </si>
  <si>
    <t>6.1.2.3</t>
  </si>
  <si>
    <t>Import Bank Statement / Payment Data</t>
  </si>
  <si>
    <t>Automatically import daily bank statement or payment file into ERP for cash application processing.</t>
  </si>
  <si>
    <t>Match Payments to Invoices</t>
  </si>
  <si>
    <t>Cash Application</t>
  </si>
  <si>
    <t>Automatically match incoming payments to outstanding invoices using remittance advice, invoice number or client reference</t>
  </si>
  <si>
    <t>Automatically apply full or partial payments to invoices in ERP</t>
  </si>
  <si>
    <t>ERP / AR Tool</t>
  </si>
  <si>
    <t>Post Applied Cash in ERP</t>
  </si>
  <si>
    <t>Automatically post matched payment against invoice in AR sub-ledger, and update invoice status and AR aging accordingly.</t>
  </si>
  <si>
    <t>6.1.2.4</t>
  </si>
  <si>
    <t>Determine whether there are unmatched or partially applied payments</t>
  </si>
  <si>
    <t>Investigate Short / Over / Unmatched Payments</t>
  </si>
  <si>
    <t>6.1.4.1</t>
  </si>
  <si>
    <t>6.1.4.2</t>
  </si>
  <si>
    <t>6.1.4.3</t>
  </si>
  <si>
    <t>Analyse unallocated cash to determine cause: short payment, overpayment, payment on account, wrong entity, or missing remittance detail.</t>
  </si>
  <si>
    <t>Root Cause Investigation</t>
  </si>
  <si>
    <t>Reach out to client AP team or internal operations to obtain remittance details, correct allocation instructions or dispute information</t>
  </si>
  <si>
    <t>Resolution Processing</t>
  </si>
  <si>
    <t>Apply corrections, reallocate payments or process refunds as required</t>
  </si>
  <si>
    <t>Record resolution details and update transaction status in ERP</t>
  </si>
  <si>
    <t>Record Resolution</t>
  </si>
  <si>
    <t>6.1.4.4</t>
  </si>
  <si>
    <t>6.1.5.1</t>
  </si>
  <si>
    <t>6.1.5.2</t>
  </si>
  <si>
    <t>6.1.5.3</t>
  </si>
  <si>
    <t>Reconcile AR Sub-Ledger to General Ledger</t>
  </si>
  <si>
    <t>Resolve Reconciliation Differences</t>
  </si>
  <si>
    <t>Confirm AR Balance for Period Close</t>
  </si>
  <si>
    <t>Automatically compare AR sub-ledger balances to GL control account</t>
  </si>
  <si>
    <t>Identify, investigate and resolve any differences between AR sub-ledger and GL (e.g. timing differences, posting errors, FX adjustments)</t>
  </si>
  <si>
    <t>Sign off AR balance as reconciled for month-end close. Provide reconciliation pack to central finance</t>
  </si>
  <si>
    <t>6.2.1.1</t>
  </si>
  <si>
    <t>6.2.1.2</t>
  </si>
  <si>
    <t>Overdue Receivables Identification</t>
  </si>
  <si>
    <t>Collections Prioritisation</t>
  </si>
  <si>
    <t>ERP / Collections Tool</t>
  </si>
  <si>
    <t>Automatically identify invoices exceeding payment terms, and apply aging threshold rules (e.g. 30, 60, 90 days) to categorise severity</t>
  </si>
  <si>
    <t>Prioritise overdue accounts for collection effort automatically based on invoice value, client risk profile days overdue and collection history</t>
  </si>
  <si>
    <t>Outreach Tracking Update</t>
  </si>
  <si>
    <t>6.2.2.1</t>
  </si>
  <si>
    <t>6.2.2.2</t>
  </si>
  <si>
    <t>6.2.2.3</t>
  </si>
  <si>
    <t>Automated Payment Reminder</t>
  </si>
  <si>
    <t>Automatically send system-generated payment reminder to client at defined overdue threshold (e.g. 7 days past due).</t>
  </si>
  <si>
    <t>Follow-Up Contact (Email / Phone)</t>
  </si>
  <si>
    <t>Conduct follow-up outreach to client AP department via email or phone</t>
  </si>
  <si>
    <t>ERP / Collections Tool / Email/Phone</t>
  </si>
  <si>
    <t>Email / Phone</t>
  </si>
  <si>
    <t>6.2.3.1</t>
  </si>
  <si>
    <t>6.2.3.2</t>
  </si>
  <si>
    <t>6.2.3.3</t>
  </si>
  <si>
    <t>6.2.3.4</t>
  </si>
  <si>
    <t>Dispute Logging</t>
  </si>
  <si>
    <t>Dispute Investigation</t>
  </si>
  <si>
    <t>Dispute Resolution Processing</t>
  </si>
  <si>
    <t>Record dispute details (dispute type, reason, disputed amount, supporting information) and categorisation (e.g., pricing, scope, quality, PO, compliance, etc.)</t>
  </si>
  <si>
    <t>Investigate dispute with Client and internal teams (Client Services and Billing teams) as required. Review contract terms, deliverables and billing data.</t>
  </si>
  <si>
    <t>If dispute is valid, raise credit note or invoice adjustment. Post to AR and update revenue records accordingly.</t>
  </si>
  <si>
    <t>Close Dispute &amp; Update AR</t>
  </si>
  <si>
    <t>Mark dispute as resolved. Update AR record with resolution outcome. Resume normal collection if balance remains</t>
  </si>
  <si>
    <t>6.2.5.1</t>
  </si>
  <si>
    <t>6.2.5.2</t>
  </si>
  <si>
    <t>6.2.5.3</t>
  </si>
  <si>
    <t>Document Escalation Outcome &amp; Next Steps</t>
  </si>
  <si>
    <t>Escalation Trigger Identification</t>
  </si>
  <si>
    <t>Identify accounts requiring escalation based on risk or overdue status</t>
  </si>
  <si>
    <t>6.2.5.4</t>
  </si>
  <si>
    <t>Escalate accounts to internal stakeholders who hold client relationship (e.g., Client Services, Key Account Owner, etc.)</t>
  </si>
  <si>
    <t>Internal Escalation Initiation</t>
  </si>
  <si>
    <t>Record outreach activity and outcome</t>
  </si>
  <si>
    <t>6.2.6.1</t>
  </si>
  <si>
    <t>6.2.6.2</t>
  </si>
  <si>
    <t>Payment Commitment Capture</t>
  </si>
  <si>
    <t>Commitment Monitoring</t>
  </si>
  <si>
    <t>Record escalation outcome, agreed next actions and timeline</t>
  </si>
  <si>
    <t>Capture client payment commitments and expected payment dates. Update AR and cash forecast.</t>
  </si>
  <si>
    <t>Monitor adherence to agreed payment commitments. Re-escalate if commitment is missed</t>
  </si>
  <si>
    <t>6.2.8.1</t>
  </si>
  <si>
    <t>6.2.8.2</t>
  </si>
  <si>
    <t>6.2.8.3</t>
  </si>
  <si>
    <t>Notify Project, Sales &amp; Delivery Teams</t>
  </si>
  <si>
    <t>Monitor for Resolution &amp; Remove Hold</t>
  </si>
  <si>
    <t>Apply Credit Hold</t>
  </si>
  <si>
    <t>Set credit hold flag on client account in ERP. Block new project activations and invoicing until hold is resolved</t>
  </si>
  <si>
    <t>Notify internal stakeholders of credit hold status. Communicate implications for active and pipeline work.</t>
  </si>
  <si>
    <t>Monitor for payment receipt or agreed resolution. Remove credit hold once conditions are met and notify teams</t>
  </si>
  <si>
    <t>Escalation Outreach</t>
  </si>
  <si>
    <t xml:space="preserve">Execute escalation outreach to client </t>
  </si>
  <si>
    <t>4.1.1.1</t>
  </si>
  <si>
    <t>4.1.1.2</t>
  </si>
  <si>
    <t>Initiate Period-End Revenue Cycle</t>
  </si>
  <si>
    <t>Identify Revenue Recognition Method by Project</t>
  </si>
  <si>
    <t>Manual month-end process. No automated trigger.</t>
  </si>
  <si>
    <t>Month-end analysis process. Revenue cycle initiated as part of Certinia month-end.</t>
  </si>
  <si>
    <t>Manual month-end process. Last 5 days of month very busy with large contracts.</t>
  </si>
  <si>
    <t>Triggered by POC file review cycle.</t>
  </si>
  <si>
    <t>Personnel costs ~90% automated. Remaining ~10% manually calculated. Method varies by entity and Certinia configuration.</t>
  </si>
  <si>
    <t>Manual determination. Actuals for first 25 days + estimates for last 5 days. Different for pre-billed vs actual engagements.</t>
  </si>
  <si>
    <t>POC-based for most. Percentages back-worked from amounts. Manual completion % entry for mid-tier projects ($10K-$150K).</t>
  </si>
  <si>
    <t>Maconomy aging not always source of truth for collections. Additional reports generated outside system.</t>
  </si>
  <si>
    <t>AR aging generated from Oracle with data fed back to Certinia. Visibility limited by finance licence access.</t>
  </si>
  <si>
    <t>AR aging from Oracle. GFS only covers US/UK/Ireland/Canada; other countries managed by local finance.</t>
  </si>
  <si>
    <t>AR aging from Oracle. Collections moving to GFS — AMC UK and US already within GFS.</t>
  </si>
  <si>
    <t>Cash application in Oracle. Friday cash received is manually applied due to bank statement import timing lag.</t>
  </si>
  <si>
    <t>Cash application through Oracle. Monthly operating cash meetings with group CFO/CEO.</t>
  </si>
  <si>
    <t>Matching done outside Maconomy. Reconciliation occurs outside primary billing system.</t>
  </si>
  <si>
    <t>Matching in Oracle. Payment status fed back to Certinia but visibility limited. Manual matching for unidentified receipts.</t>
  </si>
  <si>
    <t>Matching in Oracle. Cross-entity payments add complexity.</t>
  </si>
  <si>
    <t>Matching in Oracle. Manual portal checks for payment confirmation.</t>
  </si>
  <si>
    <t>No automated reminders. GFS handles collections outreach manually.</t>
  </si>
  <si>
    <t>GFS uses Certinia for initial outreach. No automated reminder system.</t>
  </si>
  <si>
    <t>US: Dawn's team chases for first 5 days then escalates to Engage Finance.</t>
  </si>
  <si>
    <t>GFS informs local teams. Collections managed by GFS with manual outreach.</t>
  </si>
  <si>
    <t>Division involved in dispute resolution. Collections linked to invoice quality. No structured dispute log in Certinia.</t>
  </si>
  <si>
    <t>Finance team has direct client relationship for dispute resolution. Escalation via calls, emails.</t>
  </si>
  <si>
    <t>GFS handles initial dunning. Escalation to divisional finance for client-specific issues.</t>
  </si>
  <si>
    <t>No credit note mechanism documented in Certinia. Amount errors require destructive restart of billing process.</t>
  </si>
  <si>
    <t>Evoke re-engages on escalations and disputes that require client relationship leverage.</t>
  </si>
  <si>
    <t>GFS handles initial escalations. Division still involved when further escalation needed. Direct client relationship held by divisional team.</t>
  </si>
  <si>
    <t>US: Dawn's team chases first then escalates to Engage Finance (local finance, not delivery team).</t>
  </si>
  <si>
    <t>GFS informs local teams but works directly with ops teams for escalation.</t>
  </si>
  <si>
    <t>No dedicated Evoke cash forecasting process. Reliant on GFS for collection reporting.</t>
  </si>
  <si>
    <t>Data extracted from Certinia and Oracle. Manual compilation in Excel. Bank statement import timing creates workarounds.</t>
  </si>
  <si>
    <t>Data from Oracle Fusion. Multiple forecast types: weekly, monthly, 3-month rolling.</t>
  </si>
  <si>
    <t>PRFM for revenue forecasting. Cash data extracted from Oracle. Working on automating AP/AR ledger data.</t>
  </si>
  <si>
    <t>No Evoke-specific cash forecast. Reliant on GFS collections reports.</t>
  </si>
  <si>
    <t>Excel-based cash forecast. Weekly direct reporting. Fed into group reporting separately from project/revenue data.</t>
  </si>
  <si>
    <t>Weekly, monthly, and 3-month forecasts all done manually in Excel. Separate group and treasury forecasts.</t>
  </si>
  <si>
    <t>Cash forecasting in Excel. PRFM bolt-on used. Working on automating forecast.</t>
  </si>
  <si>
    <t>PowerBI reporting on Certinia data. Cash forecasting separate in Excel. Multiple report packs: group, treasury, divisional.</t>
  </si>
  <si>
    <t>Excel-based reporting. Multiple formats required: group, treasury, client-specific (e.g. J&amp;J caps).</t>
  </si>
  <si>
    <t>PRFM for reporting. Manual bolt-on forecasting tool.</t>
  </si>
  <si>
    <t>4.1.2.1</t>
  </si>
  <si>
    <t>4.1.2.2</t>
  </si>
  <si>
    <t>4.1.2.3</t>
  </si>
  <si>
    <t>T&amp;M: Validate Approved Timecards &amp; Rates</t>
  </si>
  <si>
    <t>Finance validates using timesheet data from Maconomy. No automated readiness check.</t>
  </si>
  <si>
    <t>Timecards validated in Certinia. Personnel costs ~90% automated. Utilisation tracking cross-referenced.</t>
  </si>
  <si>
    <t>Timecards validated in Oracle Fusion. Kristen's team reviews variance using BPM report.</t>
  </si>
  <si>
    <t>Limited T&amp;M. Where applicable, timecards validated in Oracle PPM.</t>
  </si>
  <si>
    <t>Ops send Excel to finance for % complete uploads. Manual process.</t>
  </si>
  <si>
    <t>No automated validation. Finance reviews project progress manually.</t>
  </si>
  <si>
    <t>POC files ingested into Power Query. Manual completion % entry required for mid-tier projects ($10K-$150K).</t>
  </si>
  <si>
    <t>Passthrough treatment varies. Not always clearly separated from professional fees.</t>
  </si>
  <si>
    <t>Passthrough costs generate both cost and revenue transactions in Certinia. Treatment varies by entity.</t>
  </si>
  <si>
    <t>Cross-divisional work adds complexity. Passthrough treatment varies by client agreement.</t>
  </si>
  <si>
    <t>Significant passthrough costs (market research, honoraria). Manual reconciliation required.</t>
  </si>
  <si>
    <t>4.1.4.1</t>
  </si>
  <si>
    <t>Investigate Revenue Exception</t>
  </si>
  <si>
    <t>4.1.4.2</t>
  </si>
  <si>
    <t>Resolve Missing or Incorrect Data</t>
  </si>
  <si>
    <t>4.1.4.3</t>
  </si>
  <si>
    <t>Obtain Re-Approval if Required</t>
  </si>
  <si>
    <t>4.1.1.3</t>
  </si>
  <si>
    <t>Revenue Treatment Routing</t>
  </si>
  <si>
    <t>Route transactions to appropriate revenue calculation logic based on method</t>
  </si>
  <si>
    <t>Automated for T&amp;M but manual for fixed fee and milestone</t>
  </si>
  <si>
    <t>No systematic routing by commercial model.</t>
  </si>
  <si>
    <t>4.1.1.4</t>
  </si>
  <si>
    <t>Contract &amp; Revenue Rule Validation</t>
  </si>
  <si>
    <t>Determine whether there is missing, incomplete or inconsistent data (e.g., timing differences)</t>
  </si>
  <si>
    <t>Where corrections change revenue amounts or treatment, obtain re-approval from appropriate authority before proceeding</t>
  </si>
  <si>
    <t>4.1.5.1</t>
  </si>
  <si>
    <t>4.1.5.2</t>
  </si>
  <si>
    <t>4.1.5.3</t>
  </si>
  <si>
    <t>4.1.5.4</t>
  </si>
  <si>
    <t>4.1.5.5</t>
  </si>
  <si>
    <t>Calculate Accrued &amp; Deferred Revenue</t>
  </si>
  <si>
    <t>Automated for T&amp;M in Maconomy. Revenue = timecard hours × rates.</t>
  </si>
  <si>
    <t>~90% automated for personnel costs in Certinia. Remaining ~10% manually calculated.</t>
  </si>
  <si>
    <t>Calculated in Oracle Fusion using rate card. Actuals for first 25 days, estimates for last 5.</t>
  </si>
  <si>
    <t>Limited T&amp;M. Where applicable, calculated from Oracle PPM timecards.</t>
  </si>
  <si>
    <t>Manual for fixed fee. Ops send Excel for % complete uploads to finance.</t>
  </si>
  <si>
    <t>Calculated through month-end analysis in Certinia. Different approaches per entity.</t>
  </si>
  <si>
    <t>Manual calculation by Engage Finance. Variance analysis using Oracle BPM report.</t>
  </si>
  <si>
    <t>POC files ingested into Power Query. Percentages back-worked from amounts. Discrepancies tracked in PRFM.</t>
  </si>
  <si>
    <t>Deferred billing managed within Maconomy. Bulk uploads from Excel for certain adjustments.</t>
  </si>
  <si>
    <t>Accruals/deferrals managed through month-end analysis in Certinia.</t>
  </si>
  <si>
    <t>Pre-billing at start of month creates timing differences. Reconciled at month-end.</t>
  </si>
  <si>
    <t>PRFM reconciles against Oracle for discrepancies. Manual tracking.</t>
  </si>
  <si>
    <t>4.1.6.1</t>
  </si>
  <si>
    <t>Prepare Revenue Journal Entries</t>
  </si>
  <si>
    <t>4.1.6.2</t>
  </si>
  <si>
    <t>Route Journals for Approval</t>
  </si>
  <si>
    <t>4.1.7.1</t>
  </si>
  <si>
    <t>4.1.7.2</t>
  </si>
  <si>
    <t>Determine whether journal entry is approved for posting. If journal is rejected, return to preparer with rejection reason</t>
  </si>
  <si>
    <t>Journal Approved?</t>
  </si>
  <si>
    <t>4.1.8.1</t>
  </si>
  <si>
    <t>4.1.8.2</t>
  </si>
  <si>
    <t>Journal Entry Posting</t>
  </si>
  <si>
    <t>Deferred / Accrued Balance Update</t>
  </si>
  <si>
    <t>Journal Entry Review &amp; Approval</t>
  </si>
  <si>
    <t>4.2.1.1</t>
  </si>
  <si>
    <t>4.2.2.1</t>
  </si>
  <si>
    <t>Commercial Finance</t>
  </si>
  <si>
    <t>4.2.2.2</t>
  </si>
  <si>
    <t>Rebate coordination between commercial team and div finance. Approval path depends on entity.</t>
  </si>
  <si>
    <t>Monthly manual FTE report from Oracle data used for rebate calculation. Difficult to change client agreements.</t>
  </si>
  <si>
    <t>Revenue adjustment files uploaded from Excel. No system-driven adjustment triggers.</t>
  </si>
  <si>
    <t>Rebates: commercial team analyses amount billed, coordinates with div finance. Processed in Oracle or Certinia.</t>
  </si>
  <si>
    <t>Rebate issues with large clients (e.g. J&amp;J). Group wants changes to agreements but difficult to negotiate.</t>
  </si>
  <si>
    <t>Rebates relatively easy to process. Volume rebates done by Liz's team.</t>
  </si>
  <si>
    <t>4.2.3.1</t>
  </si>
  <si>
    <t>4.2.3.2</t>
  </si>
  <si>
    <t>Journal Entry Review</t>
  </si>
  <si>
    <t>4.2.6.1</t>
  </si>
  <si>
    <t>4.2.6.3</t>
  </si>
  <si>
    <t>Project Close &amp; Reporting</t>
  </si>
  <si>
    <t>7</t>
  </si>
  <si>
    <t>7.1</t>
  </si>
  <si>
    <t>Project Close Activities</t>
  </si>
  <si>
    <t>Executive Insights &amp; KPIs</t>
  </si>
  <si>
    <t>Client Reporting</t>
  </si>
  <si>
    <t>Formally close the project from financial, contractual, and operational perspectives. Ensure all costs, revenues, and deliverables are reconciled and systems updated to reflect project completion.</t>
  </si>
  <si>
    <t>7.1.1</t>
  </si>
  <si>
    <t>Reconcile all project financials, confirm final revenue recognition, release or write off any remaining accruals and deferrals, and confirm the project cost ledger is complete and accurate.</t>
  </si>
  <si>
    <t>7.1.1.1</t>
  </si>
  <si>
    <t>7.1.1.2</t>
  </si>
  <si>
    <t>7.1.1.3</t>
  </si>
  <si>
    <t>Financial Close-Out</t>
  </si>
  <si>
    <t>Final Revenue &amp; Cost Reconciliation</t>
  </si>
  <si>
    <t>Release / Write-Off Accruals &amp; Deferrals</t>
  </si>
  <si>
    <t>EPM / Forecast Tool</t>
  </si>
  <si>
    <t>All activities to formally close projects, capture financial and operational outcomes, report performance KPIs to executive leadership, and deliver contractual reporting obligations to clients</t>
  </si>
  <si>
    <t>7.1.2</t>
  </si>
  <si>
    <t>ERP / PSA</t>
  </si>
  <si>
    <t>7.1.2.1</t>
  </si>
  <si>
    <t>7.1.2.2</t>
  </si>
  <si>
    <t>7.1.2.3</t>
  </si>
  <si>
    <t>Revenue &amp; Cost Completion Check</t>
  </si>
  <si>
    <t>Confirm all revenue and costs have been recognised and posted</t>
  </si>
  <si>
    <t>Billing Completion Check</t>
  </si>
  <si>
    <t>Confirm all invoices have been issued and processed</t>
  </si>
  <si>
    <t>Unbilled / Unposted Item Identification</t>
  </si>
  <si>
    <t>Outstanding Balance Resolution</t>
  </si>
  <si>
    <t>Identify outstanding time, expenses or costs</t>
  </si>
  <si>
    <t>Open Items Resolution</t>
  </si>
  <si>
    <t>Identify and resolve outstanding items (e.g., unbilled time, unapplied cash, open POs)</t>
  </si>
  <si>
    <t>7.1.3</t>
  </si>
  <si>
    <t>7.1.4</t>
  </si>
  <si>
    <t>Project Closure Approval</t>
  </si>
  <si>
    <t>Project Status Update</t>
  </si>
  <si>
    <t>Update project status to closed in ERP / PSA</t>
  </si>
  <si>
    <t>Review and approve project for closure</t>
  </si>
  <si>
    <t>Review project completion status and financials</t>
  </si>
  <si>
    <t>Approve project closure</t>
  </si>
  <si>
    <t>7.1.3.1</t>
  </si>
  <si>
    <t>7.1.3.2</t>
  </si>
  <si>
    <t>Closure Approval</t>
  </si>
  <si>
    <t>Closure Review</t>
  </si>
  <si>
    <t>Reconcile total recognised revenue against total project costs to confirm final margin. Compare actual margin to budget and SOW. Investigate and document any material variance</t>
  </si>
  <si>
    <t>Review remaining accrued revenue, deferred revenue and cost accruals on the project. Release or reverse balances in ERP as appropriate</t>
  </si>
  <si>
    <t>Resolve outstanding balances, adjustments or discrepancies. Obtain approval for any write-offs in line with delegation of authority. Post final journals.</t>
  </si>
  <si>
    <t>Update project status to closed in PSA</t>
  </si>
  <si>
    <t>Update financial closure status in ERP</t>
  </si>
  <si>
    <t>Notify relevant teams that project closure is complete</t>
  </si>
  <si>
    <t>7.1.4.1</t>
  </si>
  <si>
    <t>7.1.4.2</t>
  </si>
  <si>
    <t>Project Closure Status Update</t>
  </si>
  <si>
    <t>Financial Closure Status Update</t>
  </si>
  <si>
    <t>Closure Notification</t>
  </si>
  <si>
    <t>Archive Project Documentation</t>
  </si>
  <si>
    <t>Generate and review project performance metrics and insights for management reporting and decision-making</t>
  </si>
  <si>
    <t>7.2.1</t>
  </si>
  <si>
    <t>7.2.1.1</t>
  </si>
  <si>
    <t>7.2.1.2</t>
  </si>
  <si>
    <t>ERP / EPM / Forecast/Collections Tool</t>
  </si>
  <si>
    <t>Prepare and deliver project reports and financial summaries to clients in line with contractual requirements</t>
  </si>
  <si>
    <t>7.3.1</t>
  </si>
  <si>
    <t>Client Report Preparation</t>
  </si>
  <si>
    <t>Prepare project and financial reports for client as per contractual requirements</t>
  </si>
  <si>
    <t>Report Validation &amp; Approval</t>
  </si>
  <si>
    <t>Validate report accuracy and approve for release</t>
  </si>
  <si>
    <t>Report Distribution</t>
  </si>
  <si>
    <t>Deliver report to client via agreed distribution channels</t>
  </si>
  <si>
    <t>Email / Client Portal</t>
  </si>
  <si>
    <t>7.3.2</t>
  </si>
  <si>
    <t>7.3.3</t>
  </si>
  <si>
    <t>Lock Time, Expense &amp; Billing Entry</t>
  </si>
  <si>
    <t>Prevent further timecard submissions, expense claims and billing events against the closed project.</t>
  </si>
  <si>
    <t>Archive project records, contracts, invoices and supporting documentation per data retention policy.</t>
  </si>
  <si>
    <t>Generate Project P&amp;L Report</t>
  </si>
  <si>
    <t>Project Financial Summary</t>
  </si>
  <si>
    <t>Generate project-level financial summary including revenue, cost, margin and utilisation metrics.</t>
  </si>
  <si>
    <t>Calculate Margin &amp; Utilisation Metrics</t>
  </si>
  <si>
    <t>Produce project profit and loss statement showing revenue, direct costs, indirect costs and margin</t>
  </si>
  <si>
    <t>Calculate project margin percentage, team utilisation, forecast accuracy and budget variance metrics</t>
  </si>
  <si>
    <t>Contract Compliance Review</t>
  </si>
  <si>
    <t>Verify all contractual obligations have been fulfilled and no outstanding amendments or change orders exist</t>
  </si>
  <si>
    <t>Verify All Contractual Obligations Met</t>
  </si>
  <si>
    <t>Confirm No Outstanding Amendments or Change Orders</t>
  </si>
  <si>
    <t>Review contract terms against delivered scope. Confirm all deliverables, SLAs and obligations have been fulfilled</t>
  </si>
  <si>
    <t>Check for any pending contract amendments, change orders or scope changes that require resolution before close</t>
  </si>
  <si>
    <t>7.1.5</t>
  </si>
  <si>
    <t>7.1.5.1</t>
  </si>
  <si>
    <t>7.1.5.2</t>
  </si>
  <si>
    <t>7.1.5.3</t>
  </si>
  <si>
    <t>7.1.5.4</t>
  </si>
  <si>
    <t>7.1.5.5</t>
  </si>
  <si>
    <t>Customer setup done in HubSpot by innovation &amp; growth team (not div finance). Contract setup also in HubSpot by account managers. Dual sync between HubSpot and Certinia required. No CLM or e-signature tools in use; contracts stored across HubSpot, Certinia, and HighQ with no single source of truth.</t>
  </si>
  <si>
    <t>No CLM tool. Contracts stored across multiple repositories (HubSpot, Certinia, HighQ). Identifying the correct MSA/SOW combination relies on team knowledge. No DocuSign - manual signature process.</t>
  </si>
  <si>
    <t>Highly manual process through creation of POC files. PMs fill in manually which is then ingested back through PowerQuery into a normalised layer for reporting and billing triggers</t>
  </si>
  <si>
    <t>Innovation &amp; Growth team / Operations</t>
  </si>
  <si>
    <t>KM: For Comms, at the end of the month our EVP of Growth sends out a chart for all deals within Hubspot that are considered qualifed. The value on the report has an annulized value and the expected close date. This is added into the financial packs and into Oracle project submission.
KV: We’re currently developing a report to come from HubSpot to feed into a Power BI dashboard for revenue forecasting.</t>
  </si>
  <si>
    <t>MM: Correction to Column I: SOW's stored by Project (not by client)</t>
  </si>
  <si>
    <t>KV: MSAs and SOWs are executed via DocuSign, Adobe Sign, etc., with signature requests initiated either by the client or by Evoke.</t>
  </si>
  <si>
    <t xml:space="preserve">CH: Scope changes are common month to month. </t>
  </si>
  <si>
    <t>KM: Column F:SOW's are not stored in Hubspot</t>
  </si>
  <si>
    <t>MM: Correction to Column I: SOW's are saved by project in Maconomy.  If files are saved locally that would be in addition to and never considered as a source of truth.</t>
  </si>
  <si>
    <t>KV: The basis for time entry, billing, and revenue recognition are subsets or components of the SOW line items or buckets.</t>
  </si>
  <si>
    <t xml:space="preserve">KM: Column I: this is Div Finance for Comms. </t>
  </si>
  <si>
    <t>CH: Subprojects at times are setup prior to any formal scope as work may haved KO</t>
  </si>
  <si>
    <t>CH: Billing readiness should be tied to the contract and scheduled billing rather than an individual project actuals</t>
  </si>
  <si>
    <t>KV: We have established a missing timesheet dashboard in Power BI and recently implemented restricted system access for missing timesheets.</t>
  </si>
  <si>
    <t xml:space="preserve">KM Column I: for Comms this is done by Client finance working along side with account team. </t>
  </si>
  <si>
    <t>KM Column I: Invoice plan is implemented where possible to allow for a more structure billing where milestones and billing schedules are set with the client and outlined in SOW's.</t>
  </si>
  <si>
    <t>All SOW's, Change Orders and PO's are stored in Maconomy. MSAs stored in HighQ, SOWs in Maconomy and finance folders. Contract creation is entirely manual. 70% of clients use SOW templates within MSA; 30% use internal templates. Move to centralise contracts in Ireland is underway but incomplete.</t>
  </si>
  <si>
    <t xml:space="preserve">Manual Excel forecast pack. No demand forecasting done (only revenue). Forecast deviations identified manually. Revenue forecast done in Excel, not in a system-based tool. </t>
  </si>
  <si>
    <t>Pipeline in HubSpot for new business; Excel for existing accounts. No automated feed into forecasting model. For Comms, at EoM the EVP of Growth sends out a chart for all deals within Hubspot that are considered qualifed. The value on the report has an annulized value and the expected close date. This is added into the financial packs and into Oracle project submission. Team are currently developing a report to come from HubSpot to feed into a Power BI dashboard for revenue forecasting.</t>
  </si>
  <si>
    <t>Addressed</t>
  </si>
  <si>
    <t>No CLM. MSAs stored in HighQ; SOWs in Maconomy per project. Larger clients propose their own contract templates. No e-signature integration. Contract routing is manual.</t>
  </si>
  <si>
    <t>MSAs and SOWs are executed via DocuSign, Adobe Sign, etc., with signature requests initiated either by the client or by Evoke.</t>
  </si>
  <si>
    <t>Project template selected manually in Maconomy. PM assigns customer, department, project group manually. No pre-loading from contract capture. For Comms this is done by divisional finance</t>
  </si>
  <si>
    <t>Subprojects may be created based on SOW/tactic structure. Signed scope uploaded for audit. Manual setup of metadata (therapy area, classification). Subprojects can be setup before project formally starts</t>
  </si>
  <si>
    <t>Budgets often at subproject level. Budget values need entry in both contract and working budget fields (duplicate entry). PM  / Div. Finance (Comms) submits for approval but notifications are not fully system-driven.
Formal SOWs are not resubmitted for budget changes as is. This can be done through a recon meeting and email from the client for zero reallocation budget changes</t>
  </si>
  <si>
    <t>Client Finance manually checks for outstanding timesheets. Finance have recently established a missing timesheet dashboard in Power BI and recently implemented restricted system access for missing timesheets.</t>
  </si>
  <si>
    <t xml:space="preserve">Ops must send Excel file to finance for bulk upload of % complete milestones - cannot update progress directly in Maconomy. Revenue recognition manual for fixed fee/milestone work.
For Comms this is done by Client finance working along side with account team. </t>
  </si>
  <si>
    <t>Invoice plan is implemented where possible to allow for a more structure billing where milestones and billing schedules are set with the client and outlined in SOW's</t>
  </si>
  <si>
    <t>2.1.2.4</t>
  </si>
  <si>
    <t>2.1.4.2</t>
  </si>
  <si>
    <t>Input top down drivers / assumptions</t>
  </si>
  <si>
    <t>Div. Finance (Comms) / Client Services &amp; PM (Creative) - Div. Finance (Approvals - creative)</t>
  </si>
  <si>
    <t>5.1.1.2</t>
  </si>
  <si>
    <t>Identify Billing Pathway</t>
  </si>
  <si>
    <t>5.1.1.3</t>
  </si>
  <si>
    <t>Primarily T&amp;M engagements. Some scheduled billing for retainer-style work. Billing pathway determined informally by project type.</t>
  </si>
  <si>
    <t>Vynamic: T&amp;M and Fixed Fee both common. Putnam: 99% Fixed Fee. Billing pathway depends on entity and deal structure in Certinia.</t>
  </si>
  <si>
    <t>Mix of T&amp;M and Fixed Fee. Pre-bill / actuals model adds complexity. Billing pathway not systematically determined.</t>
  </si>
  <si>
    <t>Primarily Fixed Fee / Milestone-based via POC files. Some T&amp;M for specific advisory engagements.</t>
  </si>
  <si>
    <t>Timecards in Maconomy. No formal submission deadline enforced. Hours delimited manually for billing.</t>
  </si>
  <si>
    <t>Timecards due 4 business days before EOM. Account manager reviews 2-3 days before EOM. T&amp;M Overview Excel used for tracking.</t>
  </si>
  <si>
    <t>Timecards in Oracle Fusion. Submission timing varies. Monthly cycle with start-of-month pre-billing and end-of-month actuals.</t>
  </si>
  <si>
    <t>Timecards in Oracle PPM. No formal T&amp;M billing trigger — POC file review is the primary trigger even for time-based work.</t>
  </si>
  <si>
    <t>No automated milestone triggers. Finance uploads Excel milestone data manually. Billing triggered by manual coordination.</t>
  </si>
  <si>
    <t>No automated triggers in Fusion. Billing triggered when ops confirm deliverable completion, typically via email.</t>
  </si>
  <si>
    <t>POC files are the trigger. Ops review project progress against POC and notify finance when billing is due. Highly manual.</t>
  </si>
  <si>
    <t>Milestone completion in Certinia triggers billing. PowerBI pulls out what milestones are ready to be billed based on Planned milestone date and actual milestone date achieved in Certinia. Setting Actual Date on milestone auto-transitions to Approved status — acts as the trigger. Risk of accidental triggering.</t>
  </si>
  <si>
    <t>5.1.2.1</t>
  </si>
  <si>
    <t>5.1.2.2</t>
  </si>
  <si>
    <t>5.1.2.3</t>
  </si>
  <si>
    <t>ERP / PSA / Billing Agent Tool</t>
  </si>
  <si>
    <t>Billing Agent Tool</t>
  </si>
  <si>
    <t>T&amp;M: Billing Input Validation</t>
  </si>
  <si>
    <t>5.1.2.4</t>
  </si>
  <si>
    <t>5.1.2.5</t>
  </si>
  <si>
    <t xml:space="preserve">Confirm all expenses and third-party costs for the billing period have been submitted and approved </t>
  </si>
  <si>
    <t>PO checked manually. No system-enforced PO validation gate. PO data may be in Maconomy or client portal.</t>
  </si>
  <si>
    <t>PO validated on Certinia Operations tab under Budget. If no PO, billing must stop. Part of Pre-Drafting Checklist.</t>
  </si>
  <si>
    <t>PO validated manually. PO balance not easily visible in Fusion. Manual tracking in Excel.</t>
  </si>
  <si>
    <t>No way to find remaining PO balance in Oracle PPM. Excel trackers used to monitor PO consumption.</t>
  </si>
  <si>
    <t>Manual reconciliation of hours. T&amp;M users delimit hours and align actuals to invoice content manually.</t>
  </si>
  <si>
    <t>T&amp;M Overview Excel reconciled against Certinia timecards at project and team member level. Client-specific rate cards applied. Discrepancies require Admin Edit to timecards.</t>
  </si>
  <si>
    <t>Rate card applied in Fusion. Reconciliation done in Excel extracted from Fusion. Start-of-month estimates reconciled to end-of-month actuals.</t>
  </si>
  <si>
    <t>Limited T&amp;M billing. Where applicable, timecard data reconciled manually against Excel trackers.</t>
  </si>
  <si>
    <t>SOW billing schedule tracked manually. Milestone data uploaded from Excel to finance. No system-enforced SOW-to-milestone linkage.</t>
  </si>
  <si>
    <t>Milestone amounts in Certinia validated against SOW billing schedule (Golden Rules Checklist). Four delivery types: delivery-based, timing-based, project-start, project-completion.</t>
  </si>
  <si>
    <t>SOW billing schedule maintained in Excel. Validated manually against Oracle Fusion billing data.</t>
  </si>
  <si>
    <t>POC files maintain milestone schedule. Manual validation against SOW. Excel trackers used to monitor milestone consumption.</t>
  </si>
  <si>
    <t>Expenses in Concur. Approval status checked manually. Not always integrated into billing timeline.</t>
  </si>
  <si>
    <t>Expense approval verified on Finance tab in Certinia. Expenses handled as separate billing events from professional fees.</t>
  </si>
  <si>
    <t>Expenses approved via Oracle. Passthrough costs require manual confirmation before billing.</t>
  </si>
  <si>
    <t>Expenses approved via Oracle. Passthrough treatment varies by project. Manual confirmation required.</t>
  </si>
  <si>
    <t>CLM / Billing Agent Tool</t>
  </si>
  <si>
    <t>Billing Exception Investigation</t>
  </si>
  <si>
    <t>Billing Data Correction</t>
  </si>
  <si>
    <t>Billing Validation Recheck</t>
  </si>
  <si>
    <t>Billing Agent / ERP / PSA</t>
  </si>
  <si>
    <t>Investigation done manually across Maconomy and Excel. No structured discrepancy log.</t>
  </si>
  <si>
    <t>Discrepancies investigated in Certinia. Common issues: rate mismatches, unapproved expenses, milestone amount changes. Admin Edit used to correct timecards.</t>
  </si>
  <si>
    <t>Investigation across Fusion and Excel. Client-specific requirements often cause mismatches.</t>
  </si>
  <si>
    <t>Investigation using POC files and Excel trackers. Contract module limitations in Oracle PPM cause frequent mismatches.</t>
  </si>
  <si>
    <t>GFS / Client Services</t>
  </si>
  <si>
    <t>5.1.5.1</t>
  </si>
  <si>
    <t>5.1.5.2</t>
  </si>
  <si>
    <t>5.1.5.3</t>
  </si>
  <si>
    <t>T&amp;M Billing Data Compilation</t>
  </si>
  <si>
    <t>Billing Agent</t>
  </si>
  <si>
    <t>Manual compilation from Maconomy. Hours delimited manually. Rate application done outside system.</t>
  </si>
  <si>
    <t>Timecards selected in Certinia for current billing month. Total Billable Amount verified against T&amp;M Overview Excel. Client-specific: AstraZeneca shows team member + days, Pfizer shows hours + rates, Comcast shows aggregated fees, CSL shows individual by project.</t>
  </si>
  <si>
    <t>Compiled from Oracle Fusion with rate card. Manual alignment of pre-bill estimates to actuals.</t>
  </si>
  <si>
    <t>Limited T&amp;M. Where applicable, compiled manually from Oracle PPM timecards.</t>
  </si>
  <si>
    <t>No milestone approval workflow in Maconomy. Milestone billing initiated manually by finance.</t>
  </si>
  <si>
    <t>Setting Actual Date on milestone auto-transitions to Approved in Certinia. Caution: premature Actual Date requires cancelling and cloning milestone. Admin Global Edit used for bulk approval.</t>
  </si>
  <si>
    <t>Milestone approval manual in Oracle Fusion. No automated status transition.</t>
  </si>
  <si>
    <t>POC file review triggers billing event. Milestone approval is a manual finance decision based on project progress.</t>
  </si>
  <si>
    <t>Billing Adjustment &amp; Hold Review</t>
  </si>
  <si>
    <t>5.1.6.1</t>
  </si>
  <si>
    <t>5.1.6.2</t>
  </si>
  <si>
    <t>5.1.6.3</t>
  </si>
  <si>
    <t>Draft Invoice Generation</t>
  </si>
  <si>
    <t>Tax Calculation</t>
  </si>
  <si>
    <t>PDF created manually. No automated document generation tool.</t>
  </si>
  <si>
    <t>PDF generated via Conga Composer in Certinia. Template must be manually selected. Output reviewed for accuracy before proceeding.</t>
  </si>
  <si>
    <t>PDF generated from Oracle Fusion. Manual review required.</t>
  </si>
  <si>
    <t>PDF generated from Oracle PPM. Manual formatting and review.</t>
  </si>
  <si>
    <t>Tax calculated manually or semi-automatically depending on Maconomy configuration.</t>
  </si>
  <si>
    <t>Tax calculated in Certinia billing document. Part of Golden Rules validation (items 12, 15, 17).</t>
  </si>
  <si>
    <t>Tax calculated in Oracle Fusion. EU entities have additional VAT complexity by jurisdiction.</t>
  </si>
  <si>
    <t>Tax calculated in Oracle PPM. International invoicing adds complexity.</t>
  </si>
  <si>
    <t>No standardised template library. Invoice format varies by brand and client.</t>
  </si>
  <si>
    <t>Conga Composer templates in Certinia: BD-S-PF(L0) &amp; EX(L0) default; BDC-S-PF(L2) &amp; EX(L1)-NV for Novartis; BD-S-PF(L3) &amp; EX(L1) for master projects / multiple milestones. Template selection is manual.</t>
  </si>
  <si>
    <t>Templates in Oracle Fusion. Custom formats required for large clients. EU has additional local formatting requirements.</t>
  </si>
  <si>
    <t>Templates in Oracle PPM. Limited standardisation. Client-specific formatting applied manually.</t>
  </si>
  <si>
    <t>All invoices created manually. No system-generated billing documents. High accuracy due to manual effort but very time-consuming. Invoice narrative drafted manually. Client-specific report formats required. Some brands use scheduled billing narratives.</t>
  </si>
  <si>
    <t>Billing document created in Certinia. Must use "Create Billing Document" (NOT "Create Billing Document - Billing Site"). Billing site and service product details populated. Professional Fee Summary drafted in Certinia billing document comments. References previous month invoice or SOW for language. Client-specific formatting: AstraZeneca (team + days), Comcast (project fees), CSL (individual + project), Pfizer (hours + rates).</t>
  </si>
  <si>
    <t>Invoice created manually in Oracle Fusion. No automated document generation.Client-specific reporting formats required. Custom narratives for each client. Takes significant time.</t>
  </si>
  <si>
    <t>Invoice generated in Oracle PPM manually. Client teams provide Excel project trackers as invoicing basis. Invoice narrative based on POC file data. Ops review with clients to determine what goes on invoice.</t>
  </si>
  <si>
    <t>5.1.7.1</t>
  </si>
  <si>
    <t>5.1.7.2</t>
  </si>
  <si>
    <t>5.1.7.3</t>
  </si>
  <si>
    <t>5.1.8.1</t>
  </si>
  <si>
    <t>5.1.8.2</t>
  </si>
  <si>
    <t>Invoice Routing</t>
  </si>
  <si>
    <t>5.1.8.3</t>
  </si>
  <si>
    <t>5.2.1.1</t>
  </si>
  <si>
    <t>Identify Client Submission Method</t>
  </si>
  <si>
    <t>5.2.1.2</t>
  </si>
  <si>
    <t>Submit Draft Invoice for Client Review</t>
  </si>
  <si>
    <t>Big client portals (e.g. DecideWare) require large-volume manual data entry. Multiple portal formats.</t>
  </si>
  <si>
    <t>Submission method varies: email or client portal. International invoicing has country-specific requirements outside Certinia. AP contact details checked per Golden Rules item 19.</t>
  </si>
  <si>
    <t>Over 50% of clients require portal uploads. EU: hundreds of client portals. External partners (e.g. Genpact) handle some portal submissions.</t>
  </si>
  <si>
    <t>Manual submission via email or portal. GFS responsible for submission but process is manual.</t>
  </si>
  <si>
    <t>Manual email or portal upload. Supporting docs compiled separately.</t>
  </si>
  <si>
    <t>Manual email or portal submission. Invoice and supporting artifacts attached. Submission date tracked in Asana.</t>
  </si>
  <si>
    <t>Manual portal upload or email. Client reporting packs may be required alongside invoice.</t>
  </si>
  <si>
    <t>Manual submission. Client teams may require project trackers alongside invoice.</t>
  </si>
  <si>
    <t>5.2.3.1</t>
  </si>
  <si>
    <t>Receive &amp; Log Client Query</t>
  </si>
  <si>
    <t>5.2.3.2</t>
  </si>
  <si>
    <t>5.2.3.3</t>
  </si>
  <si>
    <t>5.3.1.1</t>
  </si>
  <si>
    <t>Post Invoice to AR Sub-Ledger</t>
  </si>
  <si>
    <t>5.3.1.2</t>
  </si>
  <si>
    <t>Update Deferred / Unbilled Revenue Balances</t>
  </si>
  <si>
    <t>Raise Intercompany Recharge Request</t>
  </si>
  <si>
    <t>Automatically post finalised invoice to AR sub-ledger and update customer balance. System generates AR aging entry and updates project billing records</t>
  </si>
  <si>
    <t>5.3.2.1</t>
  </si>
  <si>
    <t>Submit Final Invoice via Client Channel</t>
  </si>
  <si>
    <t>5.3.2.2</t>
  </si>
  <si>
    <t>Attach Invoice &amp; Confirmation to Project Record</t>
  </si>
  <si>
    <t>Posted in Maconomy. AR aging not always source of truth for collections.</t>
  </si>
  <si>
    <t>Posted in Certinia with feed to Oracle AR. Deferred/unbilled revenue balances updated.</t>
  </si>
  <si>
    <t>Posted in Oracle Fusion. Reconciliation of Fusion AR to project data required.</t>
  </si>
  <si>
    <t>Posted in Oracle. Reconciliation of PPM vs contract module required.</t>
  </si>
  <si>
    <t>Deferred/unbilled tracking maintained separately. Not fully integrated in Maconomy.</t>
  </si>
  <si>
    <t>Deferred/unbilled updated in Certinia. Accrued and deferred tracking linked to milestone and T&amp;M billing.</t>
  </si>
  <si>
    <t>No unbilled revenue tracking in Fusion currently. Manual tracking required.</t>
  </si>
  <si>
    <t>Manual tracking of deferred/unbilled in Excel alongside Oracle.</t>
  </si>
  <si>
    <t>Intercompany invoicing handled manually between entities.</t>
  </si>
  <si>
    <t>Intercompany common across Ignite entities (Vynamic, Putnam, RP). Two IC scenarios: (1) Inizio entity as customer, (2) client billed via different entity.</t>
  </si>
  <si>
    <t>Intercompany invoicing between Engage entities and with other divisions.</t>
  </si>
  <si>
    <t>Intercompany billing between Medical entities. GFS manages with local team support.</t>
  </si>
  <si>
    <t>Manual email or portal submission. Regeneron requires specific email template with invoice #s, GIS date, ServiceNow ticket refs. Compliance invoicing for international handled outside Certinia.</t>
  </si>
  <si>
    <t>EU: hundreds of client portals need manual invoice loading. External partners handle some submissions.</t>
  </si>
  <si>
    <t>Manual submission via email or portal. GFS responsible but process is manual (download PDF, upload to portal).</t>
  </si>
  <si>
    <t>Invoice stored in Maconomy and client file system.</t>
  </si>
  <si>
    <t>Invoice PDF and confirmation attached to FinancialForce, Asana task, and Box. Three separate systems require manual attachment.</t>
  </si>
  <si>
    <t>Invoice stored in Oracle Fusion. Additional copies may be filed on client drives.</t>
  </si>
  <si>
    <t>Invoice stored in Oracle PPM. Additional copies on Teams drives.</t>
  </si>
  <si>
    <t>5.3.3.1</t>
  </si>
  <si>
    <t>Billing-to-Contract Reconciliation</t>
  </si>
  <si>
    <t>Reconciliation process good but manual. Maconomy aging not always source of truth. PO exhaustion tracked in Excel.</t>
  </si>
  <si>
    <t>Reconciliation in Certinia as part of month-end. Budget vs actuals reviewed. Project-by-project analysis for intercompany.</t>
  </si>
  <si>
    <t>Reconciliation exported to Excel from Fusion. No unbilled revenue tracking in Fusion. Manual process.</t>
  </si>
  <si>
    <t>Reconciliation of PPM vs contract module. Oracle can only hold one PO per contract — mismatch when multiple POs exist.</t>
  </si>
  <si>
    <t>5.3.3.2</t>
  </si>
  <si>
    <t>Intercompany Billing Reconciliation</t>
  </si>
  <si>
    <t>IC reconciliation done manually between finance teams.</t>
  </si>
  <si>
    <t>Intercompany requires project-by-project analysis in Certinia. ServiceNow ticket status monitored for settlement. AR adjustment tickets tracked separately.</t>
  </si>
  <si>
    <t>IC reconciliation manual across entities.</t>
  </si>
  <si>
    <t>IC reconciliation managed by GFS with local team support.</t>
  </si>
  <si>
    <t>5.3.3.3</t>
  </si>
  <si>
    <t>Month-End Billing Close</t>
  </si>
  <si>
    <t>Billing Agent / PSA</t>
  </si>
  <si>
    <t>Confirm 20% T&amp;M moving towards Fixed Fee</t>
  </si>
  <si>
    <t>Document storage in PSA</t>
  </si>
  <si>
    <r>
      <t xml:space="preserve">CH: Need to work on a standarized scope and delivery approach. Deliverables and milestones vary across project types and brands. </t>
    </r>
    <r>
      <rPr>
        <b/>
        <sz val="11"/>
        <color theme="9" tint="-0.249977111117893"/>
        <rFont val="Calibri"/>
        <family val="2"/>
        <scheme val="minor"/>
      </rPr>
      <t>Noted - no update made</t>
    </r>
  </si>
  <si>
    <t>Open Question</t>
  </si>
  <si>
    <r>
      <t xml:space="preserve">KV: Somewhat evenly split between T&amp;M and fixed fee/milestone. Some fixed fee pricing done using standard deliverables rate card. </t>
    </r>
    <r>
      <rPr>
        <b/>
        <sz val="11"/>
        <color theme="9" tint="-0.249977111117893"/>
        <rFont val="Calibri"/>
        <family val="2"/>
      </rPr>
      <t>Noted - no update made</t>
    </r>
  </si>
  <si>
    <r>
      <t xml:space="preserve">CH: Inconsistent approach given the various types of businesses we have brought on. </t>
    </r>
    <r>
      <rPr>
        <b/>
        <sz val="11"/>
        <color theme="9" tint="-0.249977111117893"/>
        <rFont val="Calibri"/>
        <family val="2"/>
        <scheme val="minor"/>
      </rPr>
      <t>Noted - no update made</t>
    </r>
  </si>
  <si>
    <r>
      <t xml:space="preserve">CH: Scope changes are common month to month. </t>
    </r>
    <r>
      <rPr>
        <b/>
        <sz val="11"/>
        <color theme="9" tint="-0.249977111117893"/>
        <rFont val="Calibri"/>
        <family val="2"/>
        <scheme val="minor"/>
      </rPr>
      <t>Noted - no update made</t>
    </r>
    <r>
      <rPr>
        <sz val="11"/>
        <color theme="9" tint="-0.249977111117893"/>
        <rFont val="Calibri"/>
        <family val="2"/>
        <scheme val="minor"/>
      </rPr>
      <t xml:space="preserve"> </t>
    </r>
  </si>
  <si>
    <r>
      <t xml:space="preserve">CH: Current process is done through client calls and recon meetings for scope changes. </t>
    </r>
    <r>
      <rPr>
        <b/>
        <sz val="11"/>
        <color theme="9" tint="-0.249977111117893"/>
        <rFont val="Calibri"/>
        <family val="2"/>
        <scheme val="minor"/>
      </rPr>
      <t>Noted - no update made</t>
    </r>
  </si>
  <si>
    <t>No contract capture tool. SOWs saved in Maconomy per project number (source of truth)</t>
  </si>
  <si>
    <r>
      <t>MM: All SOW's, Change Orders and PO's are stored in Maconomy.  If something is stored in a local folder, it would only be a copy.  We will not recognize revenue against a project without a contract tying to the contract total, attached in Maconomy. [</t>
    </r>
    <r>
      <rPr>
        <b/>
        <sz val="11"/>
        <color rgb="FFFF0000"/>
        <rFont val="Calibri"/>
        <family val="2"/>
        <scheme val="minor"/>
      </rPr>
      <t>refer to 1.2.4.12</t>
    </r>
    <r>
      <rPr>
        <sz val="11"/>
        <color rgb="FF00B050"/>
        <rFont val="Calibri"/>
        <family val="2"/>
        <scheme val="minor"/>
      </rPr>
      <t>]</t>
    </r>
  </si>
  <si>
    <t>Notification to GFS</t>
  </si>
  <si>
    <r>
      <rPr>
        <b/>
        <sz val="11"/>
        <color rgb="FF00B050"/>
        <rFont val="Calibri"/>
        <family val="2"/>
        <scheme val="minor"/>
      </rPr>
      <t>ADD</t>
    </r>
    <r>
      <rPr>
        <sz val="11"/>
        <color rgb="FF00B050"/>
        <rFont val="Calibri"/>
        <family val="2"/>
        <scheme val="minor"/>
      </rPr>
      <t>: Notification to GFS at Contracting stage [1.1.4.10]</t>
    </r>
  </si>
  <si>
    <t>Deliverables and milestones vary across project types and brands
CH: Need to work on a standarized scope and delivery approach. Deliverables and milestones vary across project types and brands.</t>
  </si>
  <si>
    <t>No standard rate card repository. Pricing defined manually per engagement although some fixed fee pricing done using standard deliverables rate card.
KV: Somewhat evenly split between T&amp;M and fixed fee/milestone</t>
  </si>
  <si>
    <t>CH: Inconsistent approach given the various types of businesses brought on</t>
  </si>
  <si>
    <t>CH: Current process is done through client calls and reconciliation meetings for scope changes</t>
  </si>
  <si>
    <t>AS: Accrued/Deferred w/ income offset ran in PSA</t>
  </si>
  <si>
    <r>
      <t xml:space="preserve">AS: Recogintion type captured on project at creation, and rarely changes to anything. 
</t>
    </r>
    <r>
      <rPr>
        <b/>
        <sz val="11"/>
        <color rgb="FF000000"/>
        <rFont val="Calibri"/>
        <scheme val="minor"/>
      </rPr>
      <t>Putnam</t>
    </r>
    <r>
      <rPr>
        <sz val="11"/>
        <color rgb="FF000000"/>
        <rFont val="Calibri"/>
        <scheme val="minor"/>
      </rPr>
      <t xml:space="preserve"> - Fixed Fee + % complete, phasing out incorrectly created time &amp; matertials
</t>
    </r>
    <r>
      <rPr>
        <b/>
        <sz val="11"/>
        <color rgb="FF000000"/>
        <rFont val="Calibri"/>
        <scheme val="minor"/>
      </rPr>
      <t>RP</t>
    </r>
    <r>
      <rPr>
        <sz val="11"/>
        <color rgb="FF000000"/>
        <rFont val="Calibri"/>
        <scheme val="minor"/>
      </rPr>
      <t xml:space="preserve"> - Fixed fee + % milestone, Milestone % locked based on revenue structure, dates to be confirm by PMs prior to recognition, no T&amp;M
</t>
    </r>
    <r>
      <rPr>
        <b/>
        <sz val="11"/>
        <color rgb="FF000000"/>
        <rFont val="Calibri"/>
        <scheme val="minor"/>
      </rPr>
      <t>Vynamic</t>
    </r>
    <r>
      <rPr>
        <sz val="11"/>
        <color rgb="FF000000"/>
        <rFont val="Calibri"/>
        <scheme val="minor"/>
      </rPr>
      <t xml:space="preserve"> - Fixed Fee + % complete, some true T&amp;M
</t>
    </r>
    <r>
      <rPr>
        <b/>
        <sz val="11"/>
        <color rgb="FF000000"/>
        <rFont val="Calibri"/>
        <scheme val="minor"/>
      </rPr>
      <t>STEM</t>
    </r>
    <r>
      <rPr>
        <sz val="11"/>
        <color rgb="FF000000"/>
        <rFont val="Calibri"/>
        <scheme val="minor"/>
      </rPr>
      <t xml:space="preserve"> - same as RP</t>
    </r>
  </si>
  <si>
    <t xml:space="preserve">AS: Done by system based on recognition type selected on the project </t>
  </si>
  <si>
    <r>
      <t>AS: Putnam</t>
    </r>
    <r>
      <rPr>
        <sz val="11"/>
        <color rgb="FF000000"/>
        <rFont val="Calibri"/>
        <scheme val="minor"/>
      </rPr>
      <t xml:space="preserve"> - missing time report, all time required workiday day -2, follow ups sent to users missing time to complete. All timecards submited, run % complete calculation in PSA that will total value time submitted in the month vs remaining work compare to project budget, preliminary revenue report complete for fianance a[pproval/comparision to forecast/locate errors on projects. 
</t>
    </r>
    <r>
      <rPr>
        <b/>
        <sz val="11"/>
        <color rgb="FF000000"/>
        <rFont val="Calibri"/>
        <scheme val="minor"/>
      </rPr>
      <t>RP</t>
    </r>
    <r>
      <rPr>
        <sz val="11"/>
        <color rgb="FF000000"/>
        <rFont val="Calibri"/>
        <scheme val="minor"/>
      </rPr>
      <t xml:space="preserve"> - missing time report, all time required workiday day -2, follow ups sent to users missing time to complete. All timecards submited. Prelim report based on Milestones rather than % complete </t>
    </r>
  </si>
  <si>
    <t xml:space="preserve">AS: Timecards are auto approve for all Ignite, no true T&amp;M projects </t>
  </si>
  <si>
    <t xml:space="preserve">AS: Located in Prelim report </t>
  </si>
  <si>
    <t>AS: no manual override, rerun % complete + report</t>
  </si>
  <si>
    <t xml:space="preserve">AS: Income offset </t>
  </si>
  <si>
    <t>Noted - no change made at this time</t>
  </si>
  <si>
    <t>Markup agreed in SOW (some by line item; others by flat percentage). Pass through is direct billed as incurred, but mark-up is calculated and invoiced at project closure reconciliation period</t>
  </si>
  <si>
    <t>4.1.5.6</t>
  </si>
  <si>
    <t>Generate draft invoice in billing currency using compiled billing data, approved adjustments and invoice structure</t>
  </si>
  <si>
    <t>Supplemental attachments are not boiler-plate, and often times are provided by the client already prepared to include with the invoice</t>
  </si>
  <si>
    <r>
      <t xml:space="preserve">Transmit final contract to client signatories via e-signature link within HubSpot (via DocuSign integration). </t>
    </r>
    <r>
      <rPr>
        <b/>
        <sz val="9"/>
        <rFont val="Arial"/>
        <family val="2"/>
      </rPr>
      <t>Where possible be the first signing</t>
    </r>
    <r>
      <rPr>
        <sz val="9"/>
        <rFont val="Arial"/>
        <family val="2"/>
      </rPr>
      <t xml:space="preserve"> (enables technology pick e.g. Docusign)</t>
    </r>
  </si>
  <si>
    <t>Client reviews the SOW, raises redlines if applicable and executes e-signature within HubSpot (via DocuSign integration)</t>
  </si>
  <si>
    <t>1.2.2.8</t>
  </si>
  <si>
    <t>1.2.2.9</t>
  </si>
  <si>
    <t>1.2.2.10</t>
  </si>
  <si>
    <t>Draft SOW Upload to Agent</t>
  </si>
  <si>
    <t>Draft SOW: Data Extraction</t>
  </si>
  <si>
    <t>Draft SOW Alignment to MSA?</t>
  </si>
  <si>
    <t>SOX / Audit Hotspots for Consideration</t>
  </si>
  <si>
    <t>Dawn / Don</t>
  </si>
  <si>
    <t>At-Risk Project Activation on Draft SOW</t>
  </si>
  <si>
    <t>1.2.3.1</t>
  </si>
  <si>
    <t>At-Risk Start Needed?</t>
  </si>
  <si>
    <t>Determine whether there is a need/request to commence work at-risk before the SOW is fully executed</t>
  </si>
  <si>
    <t>1.2.3.2</t>
  </si>
  <si>
    <t>1.2.3.3</t>
  </si>
  <si>
    <t>At-Risk Approval &amp; Risk Acceptance</t>
  </si>
  <si>
    <t>1.2.3.4</t>
  </si>
  <si>
    <t>Proceed to Project Setup</t>
  </si>
  <si>
    <t>1.2.5.9</t>
  </si>
  <si>
    <t>1.2.5.10</t>
  </si>
  <si>
    <t>1.2.5.11</t>
  </si>
  <si>
    <t>1.2.5.12</t>
  </si>
  <si>
    <t>1.2.7</t>
  </si>
  <si>
    <t>1.2.7.1</t>
  </si>
  <si>
    <t>1.2.7.2</t>
  </si>
  <si>
    <t>1.2.7.3</t>
  </si>
  <si>
    <t>1.2.7.4</t>
  </si>
  <si>
    <t>1.2.7.5</t>
  </si>
  <si>
    <t>1.2.7.6</t>
  </si>
  <si>
    <t>1.2.7.7</t>
  </si>
  <si>
    <t>Client Services / Account Managers</t>
  </si>
  <si>
    <t>AI Agent - Contract Capture (or Client Services/Acct Mgrs in absence of Agent)</t>
  </si>
  <si>
    <t>Commercial Affairs</t>
  </si>
  <si>
    <t>Portfolio Leaders (MD)</t>
  </si>
  <si>
    <t>AI Agent - Billing (or GFS in absence of Agent)</t>
  </si>
  <si>
    <t>KV: For to-be RACI, I believe this Step 1.3 should be Operations or GFS rather than Client Services. It is currently Operations.</t>
  </si>
  <si>
    <t>1.3.8.1</t>
  </si>
  <si>
    <t>1.3.8.2</t>
  </si>
  <si>
    <t>Project Value Threshold Met?</t>
  </si>
  <si>
    <t>Operations Project Activation</t>
  </si>
  <si>
    <t>Finance Project Activation</t>
  </si>
  <si>
    <t>1.3.8.3</t>
  </si>
  <si>
    <t>Review and activate project in PSA in line with financial approval controls</t>
  </si>
  <si>
    <r>
      <t>MM: This step should be done before an SOW is sent to a cleint. [</t>
    </r>
    <r>
      <rPr>
        <b/>
        <sz val="11"/>
        <color rgb="FF00B050"/>
        <rFont val="Calibri"/>
        <family val="2"/>
        <scheme val="minor"/>
      </rPr>
      <t>Updated - this is now secondary matching. See 1.2.2.10</t>
    </r>
    <r>
      <rPr>
        <sz val="11"/>
        <color rgb="FF00B050"/>
        <rFont val="Calibri"/>
        <family val="2"/>
        <scheme val="minor"/>
      </rPr>
      <t>]</t>
    </r>
  </si>
  <si>
    <r>
      <t xml:space="preserve">KV: I believe from a SOX compliance standpoint, Div. Finance will still need to be responsible for tying out budgets and turning projects live in Maconomy. </t>
    </r>
    <r>
      <rPr>
        <b/>
        <sz val="11"/>
        <color rgb="FF00B050"/>
        <rFont val="Calibri"/>
        <family val="2"/>
      </rPr>
      <t>[See updates - threshold-driven]</t>
    </r>
  </si>
  <si>
    <r>
      <rPr>
        <sz val="11"/>
        <color rgb="FF00B050"/>
        <rFont val="Calibri"/>
        <family val="2"/>
      </rPr>
      <t>KM: Column I: This is Div Finance for COMMS.</t>
    </r>
    <r>
      <rPr>
        <sz val="11"/>
        <color rgb="FF000000"/>
        <rFont val="Calibri"/>
        <family val="2"/>
      </rPr>
      <t xml:space="preserve"> 
</t>
    </r>
    <r>
      <rPr>
        <sz val="11"/>
        <color rgb="FF00B050"/>
        <rFont val="Calibri"/>
        <family val="2"/>
      </rPr>
      <t>CH: Formal SOWs are not resubmitted for budget changes as is. This can be done through a recon meeting and email from the client for zero reallocation budget changes</t>
    </r>
    <r>
      <rPr>
        <b/>
        <sz val="11"/>
        <color rgb="FF00B050"/>
        <rFont val="Calibri"/>
        <family val="2"/>
      </rPr>
      <t xml:space="preserve"> [See updates to 1.2.2.7-1.2.2.8]</t>
    </r>
  </si>
  <si>
    <r>
      <rPr>
        <b/>
        <sz val="11"/>
        <color theme="5"/>
        <rFont val="Calibri"/>
        <family val="2"/>
        <scheme val="minor"/>
      </rPr>
      <t>ADD</t>
    </r>
    <r>
      <rPr>
        <sz val="11"/>
        <color theme="5"/>
        <rFont val="Calibri"/>
        <family val="2"/>
        <scheme val="minor"/>
      </rPr>
      <t>: Draft vs. Final invoice for client review/approval</t>
    </r>
  </si>
  <si>
    <t>Nice to have (20, not 80). DJ Note: Could be part of the Sidetrade offering but again not an urgent Inizio need</t>
  </si>
  <si>
    <t>DJ: Demand forecasting should not be transitioned to GFS.</t>
  </si>
  <si>
    <t>DJ: Will timecards have an approval process prior to billing/rev rec? Adjustments to timecards will need a process to re-approved post adjustment.</t>
  </si>
  <si>
    <t>DJ: Ignite confirmed the use the standard templates from Certinia. I will check with the GFS billing team for AMC US/UK for any deviations from standard</t>
  </si>
  <si>
    <t>DJ: If T&amp;M billing is from approved timecards, where can we put an upstream review or will it need to route for approval in the system. FF/Milestone billing will not have an invoice approval routing back to client services</t>
  </si>
  <si>
    <t>DJ: Is it possible to eliminate Client Services submitting to the client. We are working to automate the emailing of invoices and portal submission so this would be an exception to global design.</t>
  </si>
  <si>
    <t>DJ: looking at Sidetrade as an automation solution to many of the collections steps</t>
  </si>
  <si>
    <t>Add system names</t>
  </si>
  <si>
    <r>
      <t xml:space="preserve">Determine whether the customer already exists in ERP. The 'Verbal Award' stage automatically triggers a check if Customer already exists in ERP master data (e.g., if Oracle/Maconomy Customer ID is blank), and initiates MDM setup workflow where required </t>
    </r>
    <r>
      <rPr>
        <sz val="9"/>
        <color rgb="FFFF0000"/>
        <rFont val="Arial"/>
        <family val="2"/>
      </rPr>
      <t>Check which module in ERP they are checking for master data (Dawn/Enda)</t>
    </r>
  </si>
  <si>
    <t>Changes from today</t>
  </si>
  <si>
    <t>Disparat master data</t>
  </si>
  <si>
    <t>Not performed today - no threshold (to be determined by the business)</t>
  </si>
  <si>
    <t>Sales / Division Finance</t>
  </si>
  <si>
    <t>Starting principle is that Inizio (CA team) signs first - to inform technology, who's across it in CC for routing and version control (with right payment terms)</t>
  </si>
  <si>
    <t>AI Agent - Contract Capture (or Commercial Affairs in absence of Agent)</t>
  </si>
  <si>
    <t>E-invoicing (+ generating invoice out of ERP)</t>
  </si>
  <si>
    <t>Agent extraction of key data fields from MSA</t>
  </si>
  <si>
    <t>Upstream notification to GFS</t>
  </si>
  <si>
    <t>Redraft SOW Document or Document Changes via Structured Letter</t>
  </si>
  <si>
    <t>Redraft and update the SOW to reflect approved scope changes (e.g., scope, pricing, timelines, deliverables). Alternatively, capture authorised scope changes in letter or email from client in structured template format with Project Number and MSA reference included. If Project Number doesn't yet exist, include a SOW reference in lieu</t>
  </si>
  <si>
    <t>MSA number; SOW reference number; scope changes captured via structured template (either in amended SOW or letter format)</t>
  </si>
  <si>
    <t>MSA reference ID</t>
  </si>
  <si>
    <t>Upload draft SOW document to Contract Capture Tool via email or upload to Agent. Alternatively, capture authorised scope changes in letter or email from client and upload to Agent via emai lor direct upload. Ensure Project Number and SOW/MSA reference are included to append to original documents</t>
  </si>
  <si>
    <t>Agent automatic check against MSA. Link all documents with Project Number and SOW/MSA reference</t>
  </si>
  <si>
    <t xml:space="preserve">Automatically upload signed SOW document to Contract Capture Tool via email or upload to Agent </t>
  </si>
  <si>
    <t>Extract and structure key scope, pricing and billing data from the SOW to support project setup, revenue recognition and invoicing process. Link to parent SOW, if applicable. Automatically capture data extractions and feed into PSA and/or ERP</t>
  </si>
  <si>
    <t>To the extent possible, utilize SOW structure templates (e.g., structured inputs). De minimus sections w/in SOW (project master data; billing data; e-invoicing reqs; commercial model; delivery milestones; etc.) Include MSA reference and SOW reference/Project Number</t>
  </si>
  <si>
    <t>Ambition to automate this step via Agent</t>
  </si>
  <si>
    <t>Ambition to automate this step via future Agent</t>
  </si>
  <si>
    <t>PO automatically uploaded to Contract Capture tool when submitted automatically via email or direct upload to Agent</t>
  </si>
  <si>
    <t>AI Agent - Contract Capture (or GFS in absence of Agent)</t>
  </si>
  <si>
    <t>Verify PO includes required details (e.g., PO number, value, dates, client entity, billing entity). Confirm PO is valid and approved on client side</t>
  </si>
  <si>
    <t>Input pricing, billing structure and key commercial terms based on SOW and MSA</t>
  </si>
  <si>
    <t>Configure billing schedule, triggers and invoicing format/parameters</t>
  </si>
  <si>
    <t>Project Activation moved from Division Finance to Ops</t>
  </si>
  <si>
    <t>Defined threshold for Finance involvement in Project Activation</t>
  </si>
  <si>
    <t>Artefacts</t>
  </si>
  <si>
    <t>Revenue recognition enabled at project activation</t>
  </si>
  <si>
    <t>Existing Work - Forecast</t>
  </si>
  <si>
    <t>Evoke - use forecasting module
Open question for Ignite -do they have something similar?</t>
  </si>
  <si>
    <t>Commitment Call</t>
  </si>
  <si>
    <t>More formalized commitment call for Evoke</t>
  </si>
  <si>
    <t>Hiring &amp; Subcontractor Planning (Buy/Borrow/Build)</t>
  </si>
  <si>
    <t>Translate forecasted revenue and pipeline into demand for roles, skills and capacity. Scope changes to existing projects should be captured timely in PSA to feed into demand planning analysis</t>
  </si>
  <si>
    <t>Resource planning to move away from Excel and into PSA/AI Talent Marketplace</t>
  </si>
  <si>
    <t>Managing Director (MD)</t>
  </si>
  <si>
    <t>Match available resources to upcoming project requirements based on skills, availability, location and cost rate. Scope changes to existing projects should be captured timely in PSA to feed into resourcing assignments</t>
  </si>
  <si>
    <t>Trigger month-end revenue recognition process based on financial close calendar and projects moving to 'Active' status. Confirm cut-off dates and deadlines</t>
  </si>
  <si>
    <t>Ignite - do projects need to be in active status?</t>
  </si>
  <si>
    <t>Fixed Fee / Milestone: PoC Review</t>
  </si>
  <si>
    <t>4.1.2.4</t>
  </si>
  <si>
    <t>PSA / CRM</t>
  </si>
  <si>
    <t>NEW</t>
  </si>
  <si>
    <t>1.1.1.6</t>
  </si>
  <si>
    <t>CPQ Quote Generation</t>
  </si>
  <si>
    <t>Generate client pricing quote in CPQ / PSA based on expected scope, resource requirements, rate card and commercial model. Interface from CPQ module in PSA back to CRM (Hubspot)</t>
  </si>
  <si>
    <t>OPEN</t>
  </si>
  <si>
    <t>MDM Ticket Review &amp; Identification of Data Gaps</t>
  </si>
  <si>
    <t>Populate MSA Master Data &amp; Reference</t>
  </si>
  <si>
    <t>Populate client, legal and billing master data in MSA template. Generate MSA reference ID in CLM for contract processing and downstream invoicing</t>
  </si>
  <si>
    <t>Country-Specific e-Invoicing Rule Validation</t>
  </si>
  <si>
    <t>Legal Review</t>
  </si>
  <si>
    <t>Legal Approval?</t>
  </si>
  <si>
    <t>Determine whether Legal approves the written draft to be sent for customer signature</t>
  </si>
  <si>
    <t>REVISED</t>
  </si>
  <si>
    <t>Use CLM workflow to route draft MSA to Legal for review, including review for non-standard terms (if applicable)</t>
  </si>
  <si>
    <t>Validate whether local e-invoicing regulations apply based on jurisdiction, billing entity and client requirements. If required, obtain and capture e-invoice ID for billing entity for e-invoice processing</t>
  </si>
  <si>
    <t>REVISED (Accountable)</t>
  </si>
  <si>
    <t>"Executed" status triggers automated notification to prompt GFS for client portal setup and e-invoicing configuration, if applicable</t>
  </si>
  <si>
    <t>Confirm that all counterparty signatures are captured and the contract is legally binding before proceeding. Change document status to "Executed"</t>
  </si>
  <si>
    <t>Provision the client's portal access, configure project visibility, set user roles and permissions and confirm with the client that access is working. Update ERP billing master data with e-invoicing identifiers and configure invoice delivery method for structured e-invoicing submission</t>
  </si>
  <si>
    <t>CLM / Client Portal / ERP</t>
  </si>
  <si>
    <t>Set Up Client Portal &amp; E-Invoicing Billing Configuration</t>
  </si>
  <si>
    <t>"Executed" status triggers workflow for automated internal handoff notifications to relevant stakeholders</t>
  </si>
  <si>
    <t>Extract MSA reference ID and structure key customer, commercial and contractual data from the MSA to support project setup. Link to parent MSA, if applicable. Automatically capture data extractions and feed into PSA and/or ERP</t>
  </si>
  <si>
    <t>Various</t>
  </si>
  <si>
    <t>1.2.2.11</t>
  </si>
  <si>
    <t>Automatically push draft SOW document to HighQ for document upload and storage. Ensure Project Number and SOW / MSA references are included to maintain linkage to original documents</t>
  </si>
  <si>
    <t>Signed SOW Upload to HighQ</t>
  </si>
  <si>
    <t xml:space="preserve">Currently a manual step performed by Division Finance </t>
  </si>
  <si>
    <t>Move from Div Finance manual upload to automatic push to HighQ (or Commercial Affairs in absence of Agent)</t>
  </si>
  <si>
    <t>Determine if PO aligns with agreed SOW (billing entity, scope, value, billing structure, and deliverables) and MSA terms where applicable</t>
  </si>
  <si>
    <t>Identify and resolve discrepancies (e.g., incorrect billing entity). Request PO corrections where required and reupload to Contract Capture tool</t>
  </si>
  <si>
    <r>
      <t xml:space="preserve">Transmit final SOW to client signatories via e-signature link within HubSpot (via DocuSign integration). </t>
    </r>
    <r>
      <rPr>
        <b/>
        <sz val="9"/>
        <rFont val="Arial"/>
        <family val="2"/>
      </rPr>
      <t xml:space="preserve">Where possible be the first signing </t>
    </r>
    <r>
      <rPr>
        <sz val="9"/>
        <rFont val="Arial"/>
        <family val="2"/>
      </rPr>
      <t>(enables technology pick e.g. Docusign)</t>
    </r>
  </si>
  <si>
    <t>Starting principle is that Inizio (CA team) signs first - to inform technology, who's across it in CC for routing and version control (with right terms, scope, deliverables, etc.)</t>
  </si>
  <si>
    <r>
      <rPr>
        <sz val="9"/>
        <rFont val="Arial"/>
        <family val="2"/>
      </rPr>
      <t>Re-determine if signed SOW aligns with agreed MSA (scope alignment to services framework, pricing structure, payment terms, etc.).</t>
    </r>
    <r>
      <rPr>
        <sz val="9"/>
        <color rgb="FFFF0000"/>
        <rFont val="Arial"/>
        <family val="2"/>
      </rPr>
      <t xml:space="preserve"> </t>
    </r>
    <r>
      <rPr>
        <sz val="9"/>
        <rFont val="Arial"/>
        <family val="2"/>
      </rPr>
      <t>Automatically flag any changes from previous iterations. Link to clilent MSA using MSA reference ID</t>
    </r>
  </si>
  <si>
    <r>
      <rPr>
        <sz val="9"/>
        <rFont val="Arial"/>
        <family val="2"/>
      </rPr>
      <t>Determine if signed SOW aligns with agreed MSA (scope alignment to services framework, pricing structure, payment terms, etc.)</t>
    </r>
    <r>
      <rPr>
        <sz val="9"/>
        <color rgb="FFFF0000"/>
        <rFont val="Arial"/>
        <family val="2"/>
      </rPr>
      <t xml:space="preserve"> </t>
    </r>
    <r>
      <rPr>
        <sz val="9"/>
        <rFont val="Arial"/>
        <family val="2"/>
      </rPr>
      <t>Automatically flag any changes from previous iterations. Link to clilent MSA using MSA reference ID</t>
    </r>
  </si>
  <si>
    <t>UPDATED</t>
  </si>
  <si>
    <t>Some areas (e.g., Creative) don't have a defined process for getting approval to work at-risk while SOW is being completed. Added TIME BOUNDS for working at-risk</t>
  </si>
  <si>
    <r>
      <t xml:space="preserve">Exception pathway where team requests approval to activate a project and commence work </t>
    </r>
    <r>
      <rPr>
        <b/>
        <sz val="9"/>
        <rFont val="Arial"/>
        <family val="2"/>
      </rPr>
      <t>at-risk</t>
    </r>
    <r>
      <rPr>
        <sz val="9"/>
        <rFont val="Arial"/>
        <family val="2"/>
      </rPr>
      <t xml:space="preserve"> prior to SOW signature, using a draft SOW and </t>
    </r>
    <r>
      <rPr>
        <b/>
        <sz val="9"/>
        <rFont val="Arial"/>
        <family val="2"/>
      </rPr>
      <t>documented client authorisation</t>
    </r>
    <r>
      <rPr>
        <sz val="9"/>
        <rFont val="Arial"/>
        <family val="2"/>
      </rPr>
      <t>. Capture draft SOW in the Contract Capture Agent, append client letters/emails as supporting amendments, activate the project in PSA with an “</t>
    </r>
    <r>
      <rPr>
        <b/>
        <sz val="9"/>
        <rFont val="Arial"/>
        <family val="2"/>
      </rPr>
      <t>Proposal</t>
    </r>
    <r>
      <rPr>
        <sz val="9"/>
        <rFont val="Arial"/>
        <family val="2"/>
      </rPr>
      <t>” status, and prevent revenue recognition until the SOW is fully executed</t>
    </r>
  </si>
  <si>
    <r>
      <t>X [</t>
    </r>
    <r>
      <rPr>
        <sz val="11"/>
        <color rgb="FFFF0000"/>
        <rFont val="Calibri"/>
        <family val="2"/>
        <scheme val="minor"/>
      </rPr>
      <t>CONFIRM</t>
    </r>
    <r>
      <rPr>
        <sz val="11"/>
        <color theme="1"/>
        <rFont val="Calibri"/>
        <family val="2"/>
        <scheme val="minor"/>
      </rPr>
      <t>]</t>
    </r>
  </si>
  <si>
    <t>At-Risk Monitoring</t>
  </si>
  <si>
    <t>Define Pass-Through Treatment</t>
  </si>
  <si>
    <t>Select appropriate SOW template based on division, commercial model, project type and client requirements. Ensure selected template allows for use of structured inputs for key SOW components (e.g., deliverables, billing schedule, etc.), regardless of client-specific format, to support automation and downstream processing. Include MSA reference and generate SOW reference ID (which may double as Project Number)</t>
  </si>
  <si>
    <t>1.2.2.12</t>
  </si>
  <si>
    <t>1.2.5.13</t>
  </si>
  <si>
    <t>Determine whether upfront payment or pre-billing is required based on executed SOW terms</t>
  </si>
  <si>
    <r>
      <t>Capture agreed SOW value and commercial terms in ERP during contract/order setup. Ensure SOW value is recorded as the basis for billing and revenue recognition</t>
    </r>
    <r>
      <rPr>
        <sz val="9"/>
        <color rgb="FFFF0000"/>
        <rFont val="Arial"/>
        <family val="2"/>
      </rPr>
      <t xml:space="preserve"> [</t>
    </r>
    <r>
      <rPr>
        <b/>
        <sz val="9"/>
        <color rgb="FFFF0000"/>
        <rFont val="Arial"/>
        <family val="2"/>
      </rPr>
      <t>Miguel - is there a status it needs to flip to in order to record value in ERP? Or is this a manual switch by the user?</t>
    </r>
    <r>
      <rPr>
        <sz val="9"/>
        <color rgb="FFFF0000"/>
        <rFont val="Arial"/>
        <family val="2"/>
      </rPr>
      <t>]</t>
    </r>
  </si>
  <si>
    <t>Confirm w/ Will - the R?</t>
  </si>
  <si>
    <t>Milestone &amp; Billing Trigger Setup</t>
  </si>
  <si>
    <t>Billing &amp; Revenue Enablement</t>
  </si>
  <si>
    <t>1.3.9</t>
  </si>
  <si>
    <t>OPEN - what about Ignite?</t>
  </si>
  <si>
    <t>Establishing defined timebounds for review and escalation of at-risk work</t>
  </si>
  <si>
    <t>PowerBI Dashboard</t>
  </si>
  <si>
    <r>
      <t xml:space="preserve">Route the at-risk start request for internal approval. </t>
    </r>
    <r>
      <rPr>
        <b/>
        <sz val="9"/>
        <rFont val="Arial"/>
        <family val="2"/>
      </rPr>
      <t>Define working-at-risk time bounds and escalation requirements for unresolved client approvals or contract execution delays</t>
    </r>
    <r>
      <rPr>
        <sz val="9"/>
        <rFont val="Arial"/>
        <family val="2"/>
      </rPr>
      <t>. Approval confirms acceptance of commercial, delivery, billing, collection and contractual risk before work begins or project activation proceeds.</t>
    </r>
  </si>
  <si>
    <t>N/A</t>
  </si>
  <si>
    <t>Monitor all projects in 'Proposal' status with costs incurred against them. If approved at-risk working period exceeds defined threshold (e.g., 2 weeks without executed SOW) on any given-project, trigger escalation and additional commercial, legal and delivery review to reassess continuation of work and pens-down requirements (if applicable)</t>
  </si>
  <si>
    <t>REVISED - Confirm</t>
  </si>
  <si>
    <t xml:space="preserve">Contract Capture Tool / PSA </t>
  </si>
  <si>
    <t>Ensure billing triggers, billing schedules and revenue recognition controls are aligned between milestone setup and SOW terms. Activate controls to block Revenue Recognition until Signed SOW is received (automatically deactivated when Project Status changes to "Active"). If pre-billing is required, mark 'SOW Executed' milestone as Complete to trigger invoicing process</t>
  </si>
  <si>
    <r>
      <t>Determine whether project value exceeds defined financial approval threshold (</t>
    </r>
    <r>
      <rPr>
        <sz val="9"/>
        <color rgb="FFFF0000"/>
        <rFont val="Arial"/>
        <family val="2"/>
      </rPr>
      <t>&gt;$500k</t>
    </r>
    <r>
      <rPr>
        <sz val="9"/>
        <rFont val="Arial"/>
        <family val="2"/>
      </rPr>
      <t xml:space="preserve">) </t>
    </r>
    <r>
      <rPr>
        <b/>
        <sz val="9"/>
        <color rgb="FFFF0000"/>
        <rFont val="Arial"/>
        <family val="2"/>
      </rPr>
      <t>[confirm against Audit rules]</t>
    </r>
  </si>
  <si>
    <t>OPEN - Confirm Threshold</t>
  </si>
  <si>
    <t>Multi-Division Engagement Structure Required (eg., CIC)?</t>
  </si>
  <si>
    <t>Determine whether multiple divisions are engaging the customer under a shared client relationship, MSA framework and billing structure</t>
  </si>
  <si>
    <t>Parent Division Assignment</t>
  </si>
  <si>
    <t>Multi-Division Engagement Setup</t>
  </si>
  <si>
    <t>Determine whether customer engagement requires a multi-division operating model (including CIC-contracted customers), and define parent division ownership and billing structure prior to contract execution</t>
  </si>
  <si>
    <t>1.1.5</t>
  </si>
  <si>
    <t>1.1.5.1</t>
  </si>
  <si>
    <t>1.1.5.2</t>
  </si>
  <si>
    <t>1.1.5.3</t>
  </si>
  <si>
    <t>1.1.5.4</t>
  </si>
  <si>
    <t>1.1.5.5</t>
  </si>
  <si>
    <t>1.1.5.6</t>
  </si>
  <si>
    <t>1.1.5.7</t>
  </si>
  <si>
    <t>1.1.5.8</t>
  </si>
  <si>
    <t>1.1.5.9</t>
  </si>
  <si>
    <t>1.1.5.10</t>
  </si>
  <si>
    <t>1.1.5.11</t>
  </si>
  <si>
    <t>1.1.5.12</t>
  </si>
  <si>
    <t>1.1.5.13</t>
  </si>
  <si>
    <t>1.1.5.14</t>
  </si>
  <si>
    <t>1.1.5.15</t>
  </si>
  <si>
    <t>Common Pricing &amp; Commercial Structure Alignment</t>
  </si>
  <si>
    <t>Define common pricing structures, rate cards and shared commercial terms across participating divisions. Where agreement cannot be reached, parent division retains final commercial decision authority</t>
  </si>
  <si>
    <t>Participating Division Identification</t>
  </si>
  <si>
    <t>Identify divisions participating in delivery and billing for the engagement</t>
  </si>
  <si>
    <t>Division Scope &amp; Billing Allocation</t>
  </si>
  <si>
    <t>Define division-level scope ownership, billing responsibility and consolidated billing structure aligned to parent division requirements</t>
  </si>
  <si>
    <t>Assign parent division based on agreed ownership criteria. Point of Origination drives parent assignment for new customers. For existing customers, determine parent ownership based on agreed commercial and delivery factors (e.g., revenue share, delivery footprint, key account ownership)</t>
  </si>
  <si>
    <t>Parent Division Change Control</t>
  </si>
  <si>
    <t>As required, manage controlled reassignment of parent division ownership based on material changes in revenue share, delivery footprint or strategic account ownership</t>
  </si>
  <si>
    <t>NEW - Will, check RACI</t>
  </si>
  <si>
    <t>Identify division(s) participating in delivery and billing for the proposed scope of work aligned to the previously agreed parent-child structure, if applicable</t>
  </si>
  <si>
    <t>Validate all setup components are complete. Confirm no credit holds. Set project status to 'Active' to activate project for time, cost and billing. Revenue Recognition automatically enabled. Project number generated. Notify stakeholders (Delivery, Finance, Sales)</t>
  </si>
  <si>
    <t>Proj # out of PSA or Hubspot?</t>
  </si>
  <si>
    <t>Define forecast timetable, submission deadlines and governance requirements for the revenue forecasting cycle</t>
  </si>
  <si>
    <t>Forecast Calendar &amp; Cut-Off Definition</t>
  </si>
  <si>
    <t>Forecast Submission Calendar</t>
  </si>
  <si>
    <t>Forecast Timeline Communication</t>
  </si>
  <si>
    <t>Define monthly forecast calendar, review cadence, submission timelines and forecast cut-off dates for financial year</t>
  </si>
  <si>
    <t>EPM / Email</t>
  </si>
  <si>
    <t>Communicate forecast timetable, submission deadlines and cut-off dates to stakeholders. Set automated reminders to communicate ahead of key dates across the financial year</t>
  </si>
  <si>
    <t>Capture and update opportunity pipeline data from CRM (e.g., HubSpot) into weighted Divisional forecasting model, including awarded-but-not-yet-started contracts and renewals</t>
  </si>
  <si>
    <t>Work-at-Risk Forecast Alignment</t>
  </si>
  <si>
    <t>Submit updated pipeline and committed forecast inputs for divisional forecast consolidation and review</t>
  </si>
  <si>
    <t>Forecast Workflow Submission</t>
  </si>
  <si>
    <t>Review and align approved work-at-risk engagements between Sales, Finance and Delivery prior to inclusion in committed forecast</t>
  </si>
  <si>
    <t>2.1.3.2</t>
  </si>
  <si>
    <t>2.1.3.3</t>
  </si>
  <si>
    <t>2.1.3.4</t>
  </si>
  <si>
    <t>Review and update forecast for active projects based on delivery progress, staffing changes, scope changes and latest project assumptions</t>
  </si>
  <si>
    <t>Active Projects Review &amp; Update</t>
  </si>
  <si>
    <t>Review and update active project forecast data within forecasting module in PSA (e.g., delivery timing, staffing, revenue forecast, scope changes) to reflect latest project status</t>
  </si>
  <si>
    <t>Existing Work Qualification for Forecast</t>
  </si>
  <si>
    <t>Identify active projects and approved scope changes for inclusion in current period forecast based on latest delivery status, approved changes and delivery confidence</t>
  </si>
  <si>
    <t>Identify opportunities for inclusion in current period forecast based on deal stage, probability and expected close date. "Negotiation" deal stage included in forecast Pipeline; "Verbal Award" and "Contracted" included in Committed forecast. Automatically assign weighting as per respective deal stage</t>
  </si>
  <si>
    <t>Submit updated existing work forecast inputs for divisional forecast consolidation and review</t>
  </si>
  <si>
    <t>PSA (Forecasting Module)</t>
  </si>
  <si>
    <t>Pass-Through Forecast Update</t>
  </si>
  <si>
    <t>Update expected pass-through revenue forecast in PSA based on agreed SOW treatment (e.g., markup percentage, fixed fee). Create milestone for pass-through and set expected completion date to the period in which the cost is expected to be incurred. Forecast only the markup or fee component as revenue</t>
  </si>
  <si>
    <t>2.1.4.1</t>
  </si>
  <si>
    <t>2.1.4.3</t>
  </si>
  <si>
    <t>Divisional Revenue Forecasting</t>
  </si>
  <si>
    <t>Develop and refine divisional forecast by consolidating weighted pipeline forecast from CRM and active project forecast from PSA into EPM. Align assumptions on delivery timing, probability and forecast inclusion</t>
  </si>
  <si>
    <t>UPDATED - why Comm Finance?</t>
  </si>
  <si>
    <t>Divisional Forecast Generation</t>
  </si>
  <si>
    <t>Automatically consolidate weighted pipeline forecast from CRM (HubSpot) and active project forecast from PSA into divisional forecast in EPM by agency, client, service line, geography and time period. Include renewals, approved scope changes and historical demand inputs</t>
  </si>
  <si>
    <t>Fabric (Data Warehouse) / EPM</t>
  </si>
  <si>
    <t>Account Discount &amp; Rebate Forecast Assessment</t>
  </si>
  <si>
    <t>Sales / Project Manager</t>
  </si>
  <si>
    <t>UPDATED. Tool? How to do this without email?</t>
  </si>
  <si>
    <t>Calculate expected account-level discounts and rebates based on consolidated current-year forecasted revenue across active projects and weighted pipeline. Where parent-child structure exists for multi-division engagements, use consolidated forecasted revenue across participating divisions to determine annual threshold qualification. Allocate discount/rebate impact proportionately across participating divisions based on forecasted revenue contribution. Parent division Finance leads calculation and governance of the consolidated discount/rebate forecast. Apply discount/rebate treatment only where forecasted revenue is expected to meet agreed annual threshold. Annual spend qualification resets at the start of each financial year</t>
  </si>
  <si>
    <t>NEW (Will to review)</t>
  </si>
  <si>
    <t>Bottom-Up Forecast Review &amp; Update</t>
  </si>
  <si>
    <t>2.1.5.1</t>
  </si>
  <si>
    <t>2.1.5.2</t>
  </si>
  <si>
    <t>2.1.5.3</t>
  </si>
  <si>
    <t>2.1.5.4</t>
  </si>
  <si>
    <t>In EPM, MDs review bottom-up forecast and assumptions on latest pipeline, delivery, staffing, commercial and pass-through inputs prior to forecast cut-off date. Feed back corrections via Sales (Hubspot) / Prj  Mgrs (PSA) to key in before forecast cut-off date</t>
  </si>
  <si>
    <t>Finance Forecast Review &amp; Top-Down Adjustments</t>
  </si>
  <si>
    <t>Review prior period revenue and utilisation performance to establish baseline demand assumptoins</t>
  </si>
  <si>
    <t>Analyse revenue trends and seasonal patterns by agency, engagement types, commercial model, region, service line, etc.</t>
  </si>
  <si>
    <t>Based on analysis, input Finance-led forecast assumptions including utilisation targets, revenue uplift assumptions and “Revenue Gap” expectations from unidentified opportunities</t>
  </si>
  <si>
    <t>Review all forecast inputs / assumptions including pipeline weighting, delivery timing and forecast variances against historical performance and Finance expectations. Challenge forecast inputs and identify adjustments where required prior to commitment call</t>
  </si>
  <si>
    <t xml:space="preserve">Following submission cut-off, review bottom-up forecast, challenge assumptions and apply Finance-led top-down adjustments and baseline demand assumptions prior to commitment and forecast publication </t>
  </si>
  <si>
    <t>2.1.6</t>
  </si>
  <si>
    <t>2.1.6.1</t>
  </si>
  <si>
    <t>2.1.6.2</t>
  </si>
  <si>
    <t>Forecast Commitment &amp; Finalisation</t>
  </si>
  <si>
    <t>Review Finance-adjusted forecast, obtain divisional commitment and finalise forecast publication for downstream planning</t>
  </si>
  <si>
    <t>Conduct forecast commitment review led by Division Finance. Review Finance-adjusted forecast assumptions, agree and incorporate final adjustments (real-time) and obtain MD forecast commitment prior to forecast publication. Commitment call should occur c.4 working days post-submission cutoff</t>
  </si>
  <si>
    <t>MD Forecast Commitment Received?</t>
  </si>
  <si>
    <t>Determine whether MDs commit to the Finance-adjusted divisional forecast and associated assumptions</t>
  </si>
  <si>
    <t>EPM / Meeting</t>
  </si>
  <si>
    <t>2.1.6.3</t>
  </si>
  <si>
    <t>Automated email reminder is sent for missing timesheet after submission deadline; PowerBI dashboard simultaneously updated automatically for missing timesheets, and restricts system access until submitted</t>
  </si>
  <si>
    <t>Upload signed MSA document to CLM (HighQ), and then to Contract Capture Tool automatically via CLM (HighQ) integration, or direct upload if required</t>
  </si>
  <si>
    <t>SOW, Order Entry &amp; Validation (incl. POs)</t>
  </si>
  <si>
    <t>Establish deliverables, timeline, milestones, dependencies, etc. Distinguish between agreed vs. optional scope</t>
  </si>
  <si>
    <t>Define pass-through cost treatment for the engagement including billing method (at cost, percentage markup, fixed fee with or without markup), billing frequency, invoice requirements (e.g., line item detail) and revenue recognition approach</t>
  </si>
  <si>
    <t>Automatically push link to all documents to PSA for audit / record-keeping purposes</t>
  </si>
  <si>
    <t xml:space="preserve">Extract and structure key purchase order data (e.g., PO number, value, billing entity, dates) to support contract setup and invoicing. Flag whether document is New or Amended. Link to related POs, if applicable. Link to SOWs via SOW reference / Project Number </t>
  </si>
  <si>
    <t>For T&amp;M projects, confirm all timecards for the period are submitted. Reconcile billable hours.</t>
  </si>
  <si>
    <t>UPDATED - SaaS + deposit</t>
  </si>
  <si>
    <t>4.1.2.5</t>
  </si>
  <si>
    <t>SaaS: Active Subscription Review</t>
  </si>
  <si>
    <t>Remove</t>
  </si>
  <si>
    <t>4.1.2.6</t>
  </si>
  <si>
    <t>Identify root cause of exception (e.g., missing timecard, unapproved or unsubmitted expense, inaccurate PoC calculation, etc.</t>
  </si>
  <si>
    <t>Obtain missing data or correct erroneous inputs (e.g., submit late timecards, approve expense reports, correct PoC calculation)</t>
  </si>
  <si>
    <r>
      <t xml:space="preserve">Automatically validate alignment with MSA / </t>
    </r>
    <r>
      <rPr>
        <b/>
        <sz val="9"/>
        <color rgb="FF000000"/>
        <rFont val="Arial"/>
        <family val="2"/>
      </rPr>
      <t xml:space="preserve">signed </t>
    </r>
    <r>
      <rPr>
        <sz val="9"/>
        <color rgb="FF000000"/>
        <rFont val="Arial"/>
        <family val="2"/>
      </rPr>
      <t xml:space="preserve">SOW and revenue recognition rules. Confirm billing and revenue recognition are aligned. Projects must be Active in PSA (e.g., signed SOW) to enable revenue recognition </t>
    </r>
  </si>
  <si>
    <r>
      <t>Signed SOW pre-loaded into PSA via Contract Capture tool. Assign project manager. For at-risk assignments, link back to Draft SOW and set project status to "Proposal" (</t>
    </r>
    <r>
      <rPr>
        <b/>
        <sz val="9"/>
        <rFont val="Arial"/>
        <family val="2"/>
      </rPr>
      <t>Evoke</t>
    </r>
    <r>
      <rPr>
        <sz val="9"/>
        <rFont val="Arial"/>
        <family val="2"/>
      </rPr>
      <t xml:space="preserve">). </t>
    </r>
    <r>
      <rPr>
        <sz val="9"/>
        <color rgb="FFFF0000"/>
        <rFont val="Arial"/>
        <family val="2"/>
      </rPr>
      <t>[What is Ignite's equivalent status? Can only be answered by Ari]</t>
    </r>
  </si>
  <si>
    <r>
      <t xml:space="preserve">Validated through month-end analysis in Certinia. Not all entities support milestone-based rev rec in the system.
Putnam/Vynamic: Generally in-line with proposed to-be design already
RP Ad-hoc - largely in-line with proposed to-be design
</t>
    </r>
    <r>
      <rPr>
        <sz val="9"/>
        <color rgb="FFFF0000"/>
        <rFont val="Arial"/>
        <family val="2"/>
      </rPr>
      <t xml:space="preserve">RP Syndicated - STILL OPEN. TO BE DETERMINED APPROPRIATE REVENUE BUCKET FOR TO-BE MAPPING
</t>
    </r>
    <r>
      <rPr>
        <sz val="9"/>
        <color rgb="FF000000"/>
        <rFont val="Arial"/>
        <family val="2"/>
      </rPr>
      <t xml:space="preserve">STEM - Ad-hoc - Fixed Fee
</t>
    </r>
    <r>
      <rPr>
        <sz val="9"/>
        <color rgb="FFFF0000"/>
        <rFont val="Arial"/>
        <family val="2"/>
      </rPr>
      <t>STEM - TBC (potentially SaaS equivalent)</t>
    </r>
  </si>
  <si>
    <t>Putname has mgmt. fee revenue in as-is state</t>
  </si>
  <si>
    <t>Revenue is calculated according to revenue recognition rules aligned to contract terms. Recognise accrued revenue for earned but unbilled amounts and deferred revenue for billed but unearned amounts.</t>
  </si>
  <si>
    <t>T&amp;M: Calculate Revenue from Submitted Time</t>
  </si>
  <si>
    <t>SaaS / Recurring: Calculate Recurring Revenue</t>
  </si>
  <si>
    <t>PSA/ ERP</t>
  </si>
  <si>
    <t>Route transactions to appropriate revenue validation logic based on method</t>
  </si>
  <si>
    <t>Route transactions to appropriate revenue recognition calculation logic based on method</t>
  </si>
  <si>
    <t>UPDATED. System?</t>
  </si>
  <si>
    <t>Calculate accrued revenue for earned but unbilled amounts and deferred revenue for billed but unearned amounts in line with agreed revenue recognition treatment</t>
  </si>
  <si>
    <t>For T&amp;M projects, calculate revenue as submitted hours × contracted rates</t>
  </si>
  <si>
    <t>Prepare revenue journal entries based on calculated revenue outputs and route for approval in line with financial controls</t>
  </si>
  <si>
    <t>Prepare revenue journal entries for recognised revenue, accruals, deferrals and unbilled AR movements based on revenue calculation outputs</t>
  </si>
  <si>
    <t>Route revenue journal entries for review and approval in line with financial controls and delegation of authority</t>
  </si>
  <si>
    <t>Review and approve revenue journal entries for accuracy, completeness and compliance with revenue recognition policy</t>
  </si>
  <si>
    <t>Review revenue journal entries for accuracy, completeness and compliance with revenue recognition policy</t>
  </si>
  <si>
    <t>Revenue Posting &amp; Reconciliation</t>
  </si>
  <si>
    <t>Post approved revenue journal entries to the general ledger. System updates revenue accounts automatically</t>
  </si>
  <si>
    <t>Deferred / Accrued Balance Reconciliation</t>
  </si>
  <si>
    <t>Process post-recognition revenue adjustments and accounting true-ups resulting from updated commercial, contractual or accounting information (e.g., rebates, contract modifications, scope changes, etc.)</t>
  </si>
  <si>
    <t>Adjustment Identification &amp; Validation</t>
  </si>
  <si>
    <t>Identify revenue adjustment events, validate supporting documentation and determine required accounting treatment</t>
  </si>
  <si>
    <t>Identify &amp; Validate Adjustment</t>
  </si>
  <si>
    <t>Identify events requiring revenue adjustment or accounting true-up (e.g., rebate accruals, contract modifications, revenue reversals or accrual/deferral adjustments). Validate supporting documentation, approvals and required accounting treatment</t>
  </si>
  <si>
    <t>Adjustment Calculation &amp; Journal Preparation</t>
  </si>
  <si>
    <t>Calculate financial impact of adjustment and prepare associated journal entries</t>
  </si>
  <si>
    <t>Calculate Adjustment &amp; Prepare Journals</t>
  </si>
  <si>
    <t>Calculate financial impact of adjustment or true-up, determine accounting treatment and prepare associated journal entries</t>
  </si>
  <si>
    <t>Route adjustment journal entries for approval in line with financial controls and delegation of authority</t>
  </si>
  <si>
    <t>Journal Review &amp; Approval</t>
  </si>
  <si>
    <t>Review adjustment journal entries for accuracy, completeness and compliance with revenue recognition policy</t>
  </si>
  <si>
    <t>Determine whether adjustment journal entry is approved for posting. If journal is rejected, return to preparer with rejection reason</t>
  </si>
  <si>
    <t>Post approved revenue journal entries to the general ledger. System updates revenue and balance sheet accounts automatically</t>
  </si>
  <si>
    <t>System automatically updates deferred revenue, accrued revenue and unbilled AR balances based on posted adjustment activity</t>
  </si>
  <si>
    <t>System automatically updates deferred revenue, accrued revenue and unbilled AR balances based on posted revenue activity</t>
  </si>
  <si>
    <t>End-to-end process to prepare, review, approve and issue client invoices for project and recurring revenue arrangements, including client review cycles and passthrough billing</t>
  </si>
  <si>
    <t>Generate draft invoices from Billing Agent / ERP based on agreed billing triggers, billing inputs and contract terms. Perform internal quality review prior to client submission</t>
  </si>
  <si>
    <t>Trigger invoice cycle based on agreed billing events and invoicing arrangements (e.g., scheduled billing date, milestone completion, pre-billing, etc.)</t>
  </si>
  <si>
    <t>Invoice Submission Calendar</t>
  </si>
  <si>
    <t>Invoice Calendar &amp; Cut-Off Definition</t>
  </si>
  <si>
    <t>Communicate invoice timetable, submission deadlines and cut-off dates to stakeholders ahead of each financial period. Send automated reminders in advance of key billing deadlines</t>
  </si>
  <si>
    <t>Invoice Timeline Communication</t>
  </si>
  <si>
    <t>5.1.3.1</t>
  </si>
  <si>
    <t>5.1.3.2</t>
  </si>
  <si>
    <t>5.1.3.3</t>
  </si>
  <si>
    <t>5.1.3.4</t>
  </si>
  <si>
    <t>5.1.3.5</t>
  </si>
  <si>
    <t>5.1.6.4</t>
  </si>
  <si>
    <t>5.1.6.5</t>
  </si>
  <si>
    <t>5.1.6.6</t>
  </si>
  <si>
    <t>5.1.6.7</t>
  </si>
  <si>
    <t>5.1.6.8</t>
  </si>
  <si>
    <t>5.1.6.9</t>
  </si>
  <si>
    <t>5.1.6.10</t>
  </si>
  <si>
    <t>Define invoice timetable and invoice cut-off dates for each financial period</t>
  </si>
  <si>
    <t>Define and communicate invoice timetable and cut-off dates for each financial period</t>
  </si>
  <si>
    <t>Milestone Trigger: Billing Milestone Achieved</t>
  </si>
  <si>
    <t>Fixed Fee / Scheduled Billing Trigger: Billing Date Achieved</t>
  </si>
  <si>
    <t>SaaS / Recurring Trigger: Billing Cycle Active</t>
  </si>
  <si>
    <t>Upfront Billing Trigger: Signed SOW Achieved</t>
  </si>
  <si>
    <t>Upfront Billing Required?</t>
  </si>
  <si>
    <t>Establish project milestones, billing schedules and associated billing trigger conditions aligned to delivery and invoicing requirements. If pre-billing is required, establish milestone marked as complete on SOW signature date to trigger upfront billing for agreed amount</t>
  </si>
  <si>
    <t>5.1.2.6</t>
  </si>
  <si>
    <t>5.1.2.7</t>
  </si>
  <si>
    <t>5.1.2.8</t>
  </si>
  <si>
    <t>5.1.2.9</t>
  </si>
  <si>
    <t>Billing Validation &amp; Exception Handling</t>
  </si>
  <si>
    <t>Validate billing inputs, contract alignment and billing trigger conditions. Identify and resolve billing exceptions prior to invoice generation</t>
  </si>
  <si>
    <t>Contract, PO &amp; Billing Validation</t>
  </si>
  <si>
    <t>AUtomatically validate billing inputs against SOW, MSA, billing schedule and PO requirements. Confirm an active, valid Purchase Order is linked to the project with sufficient remaining balance to cover the billing amount, and compare to SOW/MSA for legal enttiy name, billing entity name, scope, milestone schedule alignment. Flag exceptions for GFS review and escalation</t>
  </si>
  <si>
    <t>Milestone: Billing Input Validation</t>
  </si>
  <si>
    <t>Validate milestone completion, client acceptance and agreed billing amounts in line with contracted milestone billing terms</t>
  </si>
  <si>
    <t>Validate agreed billing dates and scheduled invoice amounts in line with contracted billing schedule</t>
  </si>
  <si>
    <t>Validate executed SOW, agreed upfront billing amount and associated billing trigger prior to invoice generation</t>
  </si>
  <si>
    <t>5.1.3.6</t>
  </si>
  <si>
    <t>For SaaS / recurring revenue billing arrangements, recurring billing cycle reaches scheduled invoicing period</t>
  </si>
  <si>
    <t>For milestone-based billing arrangements, billing milestone achieved and invoicing event triggered</t>
  </si>
  <si>
    <t>For upfront or pre-billing arrangements, SOW with upfront billing requirements is executed, and milestone is created and marked as complete to trigger invoice cycle initiation</t>
  </si>
  <si>
    <t>Fixed Fee / Scheduled: Billing Validation</t>
  </si>
  <si>
    <t>SaaS / Recurring: Billing Validation</t>
  </si>
  <si>
    <t>Upfront / Pre-billing: Billing Validation</t>
  </si>
  <si>
    <t>5.1.3.7</t>
  </si>
  <si>
    <t>5.1.3.8</t>
  </si>
  <si>
    <t>5.1.3.9</t>
  </si>
  <si>
    <t>Billing Agent / Concur</t>
  </si>
  <si>
    <t>Expense Trigger: Approved Expense Submitted</t>
  </si>
  <si>
    <t>Approved reimbursable expenses submitted and available for invoicing for the billing period</t>
  </si>
  <si>
    <t>Expense &amp; Approved Costs: Billing Validation</t>
  </si>
  <si>
    <t>Billing Validation Passed?</t>
  </si>
  <si>
    <t>Determine whether discrepancies exist between billing inputs, contract terms and invoicing requirements (e.g., rates, milestones, PO values or billing entities)</t>
  </si>
  <si>
    <t>Investigate and resolve billing discrepancies and apply required corrections prior to invoice generation</t>
  </si>
  <si>
    <t>Investigate root cause of billing discrepancy (e.g., rate card error, unapproved time, milestone variance, PO shortfall or incorrect legal entity) with Client Services or Project Manager. Determine corrective action and client communication requirements</t>
  </si>
  <si>
    <t>Apply corrections to billing inputs, timecards, expenses, milestones or contract data where required. Obtain re-approval where necessary</t>
  </si>
  <si>
    <t>Re-run billing validation checks after corrections are applied and confirm discrepancy has been resolved prior to invoice generation</t>
  </si>
  <si>
    <t>Billing Data Preparation, Consolidation &amp; Formatting</t>
  </si>
  <si>
    <t xml:space="preserve">Compile billable items, apply billing treatments and prepare invoice structure, including consolidation across projects (parent / IHL-billing) and clinet-specific invoicing requirements, as required </t>
  </si>
  <si>
    <t>Milestone Billing Compilation</t>
  </si>
  <si>
    <t>For Milestone billing, automatically compile milestone billing amounts based on achieved billing milestones and client acceptance status</t>
  </si>
  <si>
    <t>Fixed Fee / Scheduled Billing Compilation</t>
  </si>
  <si>
    <t>For SaaS / Recurring billing, automatically compile recurring subscription billing amounts for the invoicing period</t>
  </si>
  <si>
    <t>SaaS / Recurring Billing Compilation</t>
  </si>
  <si>
    <t>Upfront Billing Compilation</t>
  </si>
  <si>
    <t>Passthrough Billing Compilation</t>
  </si>
  <si>
    <t>Invoice Formatting &amp; Delivery Method Determination</t>
  </si>
  <si>
    <t>Invoice Narration &amp; Supporting Documentation</t>
  </si>
  <si>
    <t>Include invoice narrative, billing period references, deliverables, client-specific language and supplemental attachments where required under contract terms. Include SOW reference ID / Project Number and PO Number in narrative</t>
  </si>
  <si>
    <t>Prompt user to review and apply billing adjustments including credits, write-downs, billing holds and excluded line items prior to invoice generation</t>
  </si>
  <si>
    <t>Generate draft invoice structure, apply billing-on-behalf requirements and prepare invoice output for internal review</t>
  </si>
  <si>
    <t>Billing on Behalf Consolidation</t>
  </si>
  <si>
    <t>5.1.7.4</t>
  </si>
  <si>
    <t>Apply and validate tax treatment based on billing entity jurisdiction, client location, service type and invoicing method</t>
  </si>
  <si>
    <t>Generate final invoice preview or structured e-invoice validation output for internal review prior to client submission. Billing Agent performs initial review of invoice against standard validation checklist and historical invoices: validation against SOW, PO and supporting documentation, entity name, billing address, payment terms, invoice period, currency, amounts, remittance details, tax and submission instructions</t>
  </si>
  <si>
    <t>Invoice Validation Passed?</t>
  </si>
  <si>
    <t>Determine whether invoice passes automated billing validation checks and is approved for downstream review or client submission</t>
  </si>
  <si>
    <t>Invoice Correction &amp; Regeneration</t>
  </si>
  <si>
    <t>5.1.7.5</t>
  </si>
  <si>
    <t>5.1.7.6</t>
  </si>
  <si>
    <t>5.1.7.7</t>
  </si>
  <si>
    <t>T&amp;M only: Client Services / Operations Review</t>
  </si>
  <si>
    <t>Invoice Approved for Client Submission?</t>
  </si>
  <si>
    <t>PM Review</t>
  </si>
  <si>
    <t>Review invoice for billing accuracy, client-specific invoicing requirements and completeness of supporting information prior to client submission</t>
  </si>
  <si>
    <t>Determine whether invoice and billing inputs are approved for client submission. If rejected, provide reasoning</t>
  </si>
  <si>
    <t>Define engagement-specific commercial model, rates/fees, billing triggers (e.g., scheduled billing) and upfront payment requirements (if applicable) for the proposed scope of work.For multi-division engagements, establish consolidated billing and align commercial terms to the designated Parent division. Where permitted under agreed MSA terms, use scheduled billing arrangements for T&amp;M and Fixed Fee engagements to simplify downstream billing and invoice generation. Define billable vs. non-billable guidelines</t>
  </si>
  <si>
    <t>Enter high-level contractual and billing framework terms including payment terms, currency, billing frequency, delivery format (e.g., e-invoicing) , rate cards (if applicable) and agreed discount structure into the contract template. Where applicable, permit use of scheduled billing arrangements to support downstream billing operations and invoice automation</t>
  </si>
  <si>
    <t xml:space="preserve">For SaaS and recurring revenue projects, validate active subscription term, contracted recurring revenue, billing schedule and revenue recognition period </t>
  </si>
  <si>
    <t>For SaaS and recurring revenue projects, recognise recurring revenue ratably over the active subscription period through periodic deferred revenue release based on contracted subscription terms and billing schedule. Exclude one-time fees and non-recurring charges from recurring revenue treatment</t>
  </si>
  <si>
    <r>
      <t xml:space="preserve">Validate passthrough revenue treatment is aligned to agreed SOW terms (e.g., markup, management/service fee or without markup arrangements) and supported by underlying service delivery for </t>
    </r>
    <r>
      <rPr>
        <b/>
        <sz val="9"/>
        <rFont val="Arial"/>
        <family val="2"/>
      </rPr>
      <t>gross</t>
    </r>
    <r>
      <rPr>
        <sz val="9"/>
        <rFont val="Arial"/>
        <family val="2"/>
      </rPr>
      <t xml:space="preserve"> revenue recognition processing</t>
    </r>
  </si>
  <si>
    <t>Validate Passthrough Revenue Treatment (Markup, No Markup, Mgmt. / Service Fee)</t>
  </si>
  <si>
    <t>Passthrough Revenue Recognition</t>
  </si>
  <si>
    <t>Recognise gross passthrough revenue, including associated markup or management / service fee, upon delivery of the underlying service</t>
  </si>
  <si>
    <r>
      <t>Where operationally feasible, perform revenue recognition at the primary project level rather than sub-project level to support consolidated revenue treatment and simplify downstream accounting processes.
Determine applicable revenue recognition method per project (or sub-project where required): T&amp;M (time-earned), Fixed Fee (PoC), Milestone (delivery event), SaaS (recurring), Pre-billing (deposit at contract signature), Passthrough (</t>
    </r>
    <r>
      <rPr>
        <sz val="9"/>
        <rFont val="Arial"/>
        <family val="2"/>
      </rPr>
      <t>third party, intercompany</t>
    </r>
    <r>
      <rPr>
        <sz val="9"/>
        <color rgb="FF000000"/>
        <rFont val="Arial"/>
        <family val="2"/>
      </rPr>
      <t xml:space="preserve">), etc. </t>
    </r>
  </si>
  <si>
    <t>Fixed Fee / Milestone: Validate Approved Timecards &amp; Rates; Reconcile Against PoC (or Validate Milestone Completion)</t>
  </si>
  <si>
    <t>Fixed Fee/Milestone-based: Calculate Revenue from PoC (or by Milestone Completion)</t>
  </si>
  <si>
    <t>Recognise revenue at the primary project level wherever operationally feasible to support consolidated revenue recognition treatment
For Fixed Fee and milestone-based projects, recognise revenue based on validated percentage of completion against contracted project value
Milestone - by exception only: Where PoC is not applicable, recognise revenue based on value associated with completed milestone</t>
  </si>
  <si>
    <t>Determine applicable billing pathway and route to appropriate invoicing process. Where agreed under SOW / MSA terms, scheduled billing should be used for T&amp;M and Fixed Fee engagements to support downstream billing automation</t>
  </si>
  <si>
    <t>T&amp;M Trigger: Billing Event Achieved</t>
  </si>
  <si>
    <t>For T&amp;M projects, trigger invoice cycle based on agreed billing structure (e.g., scheduled billing date reached or submitted billable hours for the current billing period under non-scheduled billing arrangements)</t>
  </si>
  <si>
    <t>For fixed fee using scheduled billing arrangements, scheduled billing date reached for invoicing cycle initiation</t>
  </si>
  <si>
    <t>Ad-Hoc Billing Trigger Initiated</t>
  </si>
  <si>
    <t>Trigger off-cycle or discretionary invoice generation based on approved client request or commercial agreement outside standard billing schedule</t>
  </si>
  <si>
    <t>Passthrough Billing Trigger: Cost Incurred (Markup, No Markup, Mgmt. / Service Fee)</t>
  </si>
  <si>
    <t>Invoice / E-Invoice Validation</t>
  </si>
  <si>
    <t>Ad-Hoc Billing Validation</t>
  </si>
  <si>
    <t>Validate recurring billing schedule, subscription terms and contracted recurring invoice amounts for the billing period. Exclude one-time fees and non-recurring charges from recurring billing validation</t>
  </si>
  <si>
    <t>Validate approved ad-hoc billing request, agreed billing amount and required approval prior to invoice generation</t>
  </si>
  <si>
    <t>Passthrough costs incurred and available for invoicing</t>
  </si>
  <si>
    <t>Determine whether billing validation criteria have been met</t>
  </si>
  <si>
    <t>Validate passthrough charges, supporting documentation and agreed SOW billing treatment prior to invoice generation</t>
  </si>
  <si>
    <t>Passthrough (Markup, No Markup, Mgmt. / Service Fee): Billing Validation</t>
  </si>
  <si>
    <t>For Fixed Fee / Scheduled billing, automatically compile scheduled billing amounts and agreed invoice values for the invoicing period in line with contracted billing schedule in executed SOW</t>
  </si>
  <si>
    <t>For upfront billing, automatically compile agreed upfront or pre-billing invoice amounts in line with contracted billing terms and approved billing trigger</t>
  </si>
  <si>
    <t>Ad-Hoc Billing Compilation</t>
  </si>
  <si>
    <t>Compile approved ad-hoc billing amounts and supporting billing detail for invoice generation in line with approved billing request</t>
  </si>
  <si>
    <t>Expense Compilation</t>
  </si>
  <si>
    <t>Automatically compile approved reimbursable employee and project expenses for invoice generation</t>
  </si>
  <si>
    <t>Compile passthrough billing amounts, including associated markup or management/service fee amounts, for invoice generation in line with agreed SOW treatment. Prompt billing user to determine whether passthrough costs and associated markup / mgmt. fee should appear as combined or separate invoice line items based on client preference</t>
  </si>
  <si>
    <t>5.1.6.11</t>
  </si>
  <si>
    <t>Use standardised invoice templates where possible to support downstream billing consistency and automation. Prompt user to apply invoice template, billing format, client-specific invoicing requirements and invoice delivery method. Where e-invoicing is required under MSA or billing master data, default invoice generation to structured e-invoicing rather than PDF output</t>
  </si>
  <si>
    <t xml:space="preserve">Where consolidated billing is required, consolidate billing events, invoice amounts and supporting billing data across contributing projects, divisions or entities for centralised invoice generation under lead Parent or IHL billing entity, as per SOW </t>
  </si>
  <si>
    <t>OPEN - how do we add validation step so it doesn't need to go back to T&amp;M (per Dawn request?)</t>
  </si>
  <si>
    <r>
      <t xml:space="preserve">Route invoice for Project Manager review </t>
    </r>
    <r>
      <rPr>
        <b/>
        <sz val="9"/>
        <color rgb="FF000000"/>
        <rFont val="Arial"/>
        <family val="2"/>
      </rPr>
      <t xml:space="preserve">where required </t>
    </r>
    <r>
      <rPr>
        <sz val="9"/>
        <color rgb="FF000000"/>
        <rFont val="Arial"/>
        <family val="2"/>
      </rPr>
      <t>(T&amp;M only) prior to client submission</t>
    </r>
  </si>
  <si>
    <r>
      <t xml:space="preserve">Route invoice to Client Services via automated workflow for review and approval </t>
    </r>
    <r>
      <rPr>
        <b/>
        <sz val="9"/>
        <color rgb="FF000000"/>
        <rFont val="Arial"/>
        <family val="2"/>
      </rPr>
      <t>where required</t>
    </r>
  </si>
  <si>
    <t>Inclined to remove this and just do submission &amp; let it get rejected</t>
  </si>
  <si>
    <t>Draft Invoice Submission for Client Review</t>
  </si>
  <si>
    <t>Submit draft invoice to client for review where required under agreed billing arrangements or client requirements</t>
  </si>
  <si>
    <t>Determine required client submission channel for draft review (e.g., email or secure file-sharing channel)</t>
  </si>
  <si>
    <t>Monitor for client response or billing query within agreed SLA</t>
  </si>
  <si>
    <t>Transmit invoice to client via agreed submission channel. Include supporting documentation as required (e.g. timesheets, deliverable summaries). Confirm agreed client review and response timeframe</t>
  </si>
  <si>
    <t>Capture client query details, categorise issue type (amount, scope, format, PO, compliance)</t>
  </si>
  <si>
    <t>Investigate, Resolve &amp; Prepare Response</t>
  </si>
  <si>
    <t>Revise Draft Invoice if Required</t>
  </si>
  <si>
    <t xml:space="preserve">If query results in an invoice change, correct billing data and regenerate draft invoice </t>
  </si>
  <si>
    <t>Review client query against contract terms, billing data and supporting documentation. Resolve query and prepare client response or invoice revision where required</t>
  </si>
  <si>
    <t>Obtain client approval to proceed with invoice issuance</t>
  </si>
  <si>
    <t>5.3.2.3</t>
  </si>
  <si>
    <t>5.3.2.4</t>
  </si>
  <si>
    <t>AR Posting &amp; Accounting Update</t>
  </si>
  <si>
    <t>Finalise invoice structure, validate final invoice output and prepare invoice for client issuance</t>
  </si>
  <si>
    <t>Final Invoice Generation</t>
  </si>
  <si>
    <t>Final Invoice / E-Invoice Validation</t>
  </si>
  <si>
    <t>Perform final invoice validation and structured e-invoice checks prior to client issuance, including validation of invoice data completeness, submission requirements and formatting standards</t>
  </si>
  <si>
    <t>Billing Agent / ERP</t>
  </si>
  <si>
    <r>
      <rPr>
        <b/>
        <sz val="9"/>
        <color rgb="FFFF0000"/>
        <rFont val="Arial"/>
        <family val="2"/>
      </rPr>
      <t xml:space="preserve">Push to ERP </t>
    </r>
    <r>
      <rPr>
        <sz val="9"/>
        <color rgb="FF000000"/>
        <rFont val="Arial"/>
        <family val="2"/>
      </rPr>
      <t>to generate final invoice output in billing currency using approved billing data, invoice structure and client-specific invoicing requirements</t>
    </r>
  </si>
  <si>
    <t>[CONFIRM]</t>
  </si>
  <si>
    <t>Submit final invoice to client via agreed submission channel and confirm successful invoice issuance</t>
  </si>
  <si>
    <r>
      <t xml:space="preserve">Issue final approved invoice to client via required submission channel (e.g., email, AP portal, EDI or structured e-invoicing submission). </t>
    </r>
    <r>
      <rPr>
        <b/>
        <sz val="9"/>
        <color rgb="FFFF0000"/>
        <rFont val="Arial"/>
        <family val="2"/>
      </rPr>
      <t>For IC clients (e.g. Regeneron), follow client-specific submission protocol.</t>
    </r>
  </si>
  <si>
    <t>What is this?</t>
  </si>
  <si>
    <t>Submission Confirmation &amp; Audit Capture</t>
  </si>
  <si>
    <t>Capture invoice submission confirmation, transmission status and supporting audit records for invoice issuance tracking</t>
  </si>
  <si>
    <t>Attach final invoice output and submission confirmation to ERP project record and associated document repositories where required</t>
  </si>
  <si>
    <t>Invoice Submission Successful?</t>
  </si>
  <si>
    <t>Determine whether invoice or e-invoice submission completed successfully and was accepted by the client submission channel</t>
  </si>
  <si>
    <t>Invoice Submission Rejection Resolution</t>
  </si>
  <si>
    <t>Investigate invoice or e-invoice rejection, correct submission, formatting or compliance issues and regenerate / re-submit invoice where required</t>
  </si>
  <si>
    <t>Post issued invoice to AR sub-ledger and update associated accounting balances and AR aging</t>
  </si>
  <si>
    <t>Automatically update unbilled AR, accrued revenue and deferred revenue balances resulting from issued invoice activity</t>
  </si>
  <si>
    <t>Intercompany Billing Determination</t>
  </si>
  <si>
    <t>Determine whether intercompany recharge treatment is required where work is delivered by one entity and billed through another entity</t>
  </si>
  <si>
    <t>Complete intercompany recharge request with provider and receiver entity details and initiate intercompany accounting process</t>
  </si>
  <si>
    <t>5.3.4</t>
  </si>
  <si>
    <t>5.3.4.1</t>
  </si>
  <si>
    <t>5.3.4.2</t>
  </si>
  <si>
    <t>5.3.4.3</t>
  </si>
  <si>
    <t>Reconcile intercompany recharge balances and confirm associated accounting entries are settled between entities</t>
  </si>
  <si>
    <t>Reconcile billed amounts against contract value, SOW billing schedule, approved billing events and PO balances. Identify overbilling, underbilling or remaining uninvoiced amounts</t>
  </si>
  <si>
    <t>Complete month-end billing reconciliation and confirm all invoices for the billing period have been generated, submitted and posted prior to billing period close</t>
  </si>
  <si>
    <t>Validate submitted billable hours, contracted rates and billing summaries for the billing period. Validate against agreed T&amp;M billing caps where applicable, as per SOW. For T&amp;M projects using scheduled billing arrangements, validate scheduled invoice amounts and associated billing schedule</t>
  </si>
  <si>
    <t>For T&amp;M billing, automatically compile submitted billable hours and contracted billing rates for the invoicing period. Apply agreed T&amp;M billing caps where applicable, as per SOW. Where scheduled billing arrangements apply, compile invoice amounts  in line with contracted billing schedule in executed SOW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</si>
</sst>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1"/>
      <color theme="1"/>
      <name val="Calibri"/>
      <family val="2"/>
      <scheme val="minor"/>
    </font>
    <font>
      <b/>
      <sz val="9"/>
      <color rgb="FFFFFFFF"/>
      <name val="Arial"/>
      <family val="2"/>
    </font>
    <font>
      <b/>
      <sz val="8"/>
      <color rgb="FFFFFFFF"/>
      <name val="Arial"/>
      <family val="2"/>
    </font>
    <font>
      <b/>
      <sz val="8"/>
      <color rgb="FFC0392B"/>
      <name val="Arial"/>
      <family val="2"/>
    </font>
    <font>
      <b/>
      <sz val="8"/>
      <color rgb="FF1A7A4A"/>
      <name val="Arial"/>
      <family val="2"/>
    </font>
    <font>
      <b/>
      <sz val="8"/>
      <color rgb="FF3D1A6E"/>
      <name val="Arial"/>
      <family val="2"/>
    </font>
    <font>
      <b/>
      <sz val="9"/>
      <color rgb="FF4A0E8F"/>
      <name val="Arial"/>
      <family val="2"/>
    </font>
    <font>
      <b/>
      <sz val="9"/>
      <color rgb="FF000000"/>
      <name val="Arial"/>
      <family val="2"/>
    </font>
    <font>
      <sz val="9"/>
      <color rgb="FFC0392B"/>
      <name val="Arial"/>
      <family val="2"/>
    </font>
    <font>
      <sz val="9"/>
      <color rgb="FF1A7A4A"/>
      <name val="Arial"/>
      <family val="2"/>
    </font>
    <font>
      <sz val="9"/>
      <color rgb="FF2E75B6"/>
      <name val="Arial"/>
      <family val="2"/>
    </font>
    <font>
      <sz val="9"/>
      <color rgb="FF7B2FBE"/>
      <name val="Arial"/>
      <family val="2"/>
    </font>
    <font>
      <sz val="9"/>
      <color rgb="FF000000"/>
      <name val="Arial"/>
      <family val="2"/>
    </font>
    <font>
      <sz val="9"/>
      <color rgb="FF00897B"/>
      <name val="Arial"/>
      <family val="2"/>
    </font>
    <font>
      <sz val="9"/>
      <color rgb="FF1976D2"/>
      <name val="Arial"/>
      <family val="2"/>
    </font>
    <font>
      <sz val="9"/>
      <name val="Arial"/>
      <family val="2"/>
    </font>
    <font>
      <sz val="11"/>
      <color rgb="FFFF0000"/>
      <name val="Calibri"/>
      <family val="2"/>
      <scheme val="minor"/>
    </font>
    <font>
      <sz val="9"/>
      <color rgb="FF00897B"/>
      <name val="Arial"/>
      <family val="2"/>
    </font>
    <font>
      <sz val="9"/>
      <color rgb="FF000000"/>
      <name val="Arial"/>
      <family val="2"/>
    </font>
    <font>
      <sz val="9"/>
      <color rgb="FF7B2FBE"/>
      <name val="Arial"/>
      <family val="2"/>
    </font>
    <font>
      <sz val="9"/>
      <color rgb="FF1976D2"/>
      <name val="Arial"/>
      <family val="2"/>
    </font>
    <font>
      <sz val="8"/>
      <name val="Calibri"/>
      <family val="2"/>
      <scheme val="minor"/>
    </font>
    <font>
      <sz val="9"/>
      <name val="Arial"/>
      <family val="2"/>
    </font>
    <font>
      <b/>
      <sz val="9"/>
      <color rgb="FFFFFFFF"/>
      <name val="Arial"/>
      <family val="2"/>
    </font>
    <font>
      <b/>
      <sz val="8"/>
      <color rgb="FF1A7A4A"/>
      <name val="Arial"/>
      <family val="2"/>
    </font>
    <font>
      <sz val="9"/>
      <color rgb="FFC0392B"/>
      <name val="Arial"/>
      <family val="2"/>
    </font>
    <font>
      <sz val="9"/>
      <color rgb="FF1A7A4A"/>
      <name val="Arial"/>
      <family val="2"/>
    </font>
    <font>
      <sz val="11"/>
      <name val="Calibri"/>
      <family val="2"/>
      <scheme val="minor"/>
    </font>
    <font>
      <b/>
      <sz val="9"/>
      <color rgb="FF4A0E8F"/>
      <name val="Arial"/>
      <family val="2"/>
    </font>
    <font>
      <b/>
      <sz val="9"/>
      <color rgb="FF000000"/>
      <name val="Arial"/>
      <family val="2"/>
    </font>
    <font>
      <sz val="9"/>
      <color rgb="FFFF0000"/>
      <name val="Arial"/>
      <family val="2"/>
    </font>
    <font>
      <sz val="11"/>
      <color theme="1"/>
      <name val="Calibri"/>
      <family val="2"/>
      <charset val="1"/>
    </font>
    <font>
      <b/>
      <sz val="11"/>
      <color theme="1"/>
      <name val="Calibri"/>
      <family val="2"/>
      <scheme val="minor"/>
    </font>
    <font>
      <sz val="9"/>
      <color rgb="FF1565C0"/>
      <name val="Arial"/>
      <family val="2"/>
    </font>
    <font>
      <sz val="11"/>
      <color theme="0" tint="-0.499984740745262"/>
      <name val="Calibri"/>
      <family val="2"/>
      <scheme val="minor"/>
    </font>
    <font>
      <b/>
      <sz val="8"/>
      <color theme="0" tint="-0.499984740745262"/>
      <name val="Arial"/>
      <family val="2"/>
    </font>
    <font>
      <sz val="9"/>
      <color theme="0" tint="-0.499984740745262"/>
      <name val="Arial"/>
      <family val="2"/>
    </font>
    <font>
      <b/>
      <sz val="9"/>
      <color theme="0"/>
      <name val="Arial"/>
      <family val="2"/>
    </font>
    <font>
      <sz val="9"/>
      <color rgb="FFFF0000"/>
      <name val="Arial"/>
      <family val="2"/>
    </font>
    <font>
      <b/>
      <sz val="16"/>
      <color rgb="FF1F3864"/>
      <name val="Calibri Light"/>
      <family val="2"/>
    </font>
    <font>
      <i/>
      <sz val="10"/>
      <color rgb="FF555555"/>
      <name val="Calibri"/>
      <family val="2"/>
    </font>
    <font>
      <b/>
      <sz val="11"/>
      <color rgb="FFFFFFFF"/>
      <name val="Calibri"/>
      <family val="2"/>
    </font>
    <font>
      <b/>
      <sz val="11"/>
      <color rgb="FF1F3864"/>
      <name val="Calibri"/>
      <family val="2"/>
    </font>
    <font>
      <b/>
      <sz val="10"/>
      <color rgb="FF20202B"/>
      <name val="Calibri"/>
      <family val="2"/>
    </font>
    <font>
      <sz val="10"/>
      <color rgb="FF20202B"/>
      <name val="Calibri"/>
      <family val="2"/>
    </font>
    <font>
      <sz val="10"/>
      <color rgb="FFC00000"/>
      <name val="Calibri"/>
      <family val="2"/>
    </font>
    <font>
      <i/>
      <sz val="9"/>
      <color rgb="FF888888"/>
      <name val="Calibri"/>
      <family val="2"/>
    </font>
    <font>
      <b/>
      <sz val="9"/>
      <color theme="1"/>
      <name val="Arial"/>
      <family val="2"/>
    </font>
    <font>
      <sz val="9"/>
      <color rgb="FF1976D2"/>
      <name val="Arial"/>
      <family val="2"/>
    </font>
    <font>
      <sz val="11"/>
      <color rgb="FF000000"/>
      <name val="Calibri"/>
      <family val="2"/>
    </font>
    <font>
      <sz val="11"/>
      <color theme="5"/>
      <name val="Calibri"/>
      <family val="2"/>
      <scheme val="minor"/>
    </font>
    <font>
      <sz val="11"/>
      <color rgb="FF00B050"/>
      <name val="Calibri"/>
      <family val="2"/>
    </font>
    <font>
      <b/>
      <sz val="11"/>
      <color rgb="FF00B050"/>
      <name val="Calibri"/>
      <family val="2"/>
      <scheme val="minor"/>
    </font>
    <font>
      <b/>
      <sz val="11"/>
      <color theme="5"/>
      <name val="Calibri"/>
      <family val="2"/>
      <scheme val="minor"/>
    </font>
    <font>
      <sz val="11"/>
      <color rgb="FF00B050"/>
      <name val="Calibri"/>
      <family val="2"/>
      <scheme val="minor"/>
    </font>
    <font>
      <b/>
      <sz val="9"/>
      <color rgb="FFFF0000"/>
      <name val="Arial"/>
      <family val="2"/>
    </font>
    <font>
      <sz val="9"/>
      <color theme="0" tint="-0.499984740745262"/>
      <name val="Arial"/>
      <family val="2"/>
    </font>
    <font>
      <b/>
      <sz val="9"/>
      <color rgb="FFFFFFFF"/>
      <name val="Arial"/>
      <family val="2"/>
    </font>
    <font>
      <sz val="9"/>
      <color rgb="FF000000"/>
      <name val="Arial"/>
      <family val="2"/>
    </font>
    <font>
      <sz val="9"/>
      <color rgb="FFC0392B"/>
      <name val="Arial"/>
      <family val="2"/>
    </font>
    <font>
      <sz val="9"/>
      <color rgb="FF1A7A4A"/>
      <name val="Arial"/>
      <family val="2"/>
    </font>
    <font>
      <sz val="11"/>
      <color theme="9" tint="-0.249977111117893"/>
      <name val="Calibri"/>
      <family val="2"/>
      <scheme val="minor"/>
    </font>
    <font>
      <b/>
      <sz val="11"/>
      <color theme="9" tint="-0.249977111117893"/>
      <name val="Calibri"/>
      <family val="2"/>
      <scheme val="minor"/>
    </font>
    <font>
      <sz val="11"/>
      <color theme="9" tint="-0.249977111117893"/>
      <name val="Calibri"/>
      <family val="2"/>
    </font>
    <font>
      <b/>
      <sz val="11"/>
      <color theme="9" tint="-0.249977111117893"/>
      <name val="Calibri"/>
      <family val="2"/>
    </font>
    <font>
      <b/>
      <sz val="11"/>
      <color rgb="FFFF0000"/>
      <name val="Calibri"/>
      <family val="2"/>
      <scheme val="minor"/>
    </font>
    <font>
      <i/>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
      <b/>
      <sz val="9"/>
      <name val="Arial"/>
      <family val="2"/>
    </font>
    <font>
      <b/>
      <sz val="11"/>
      <color rgb="FF00B050"/>
      <name val="Calibri"/>
      <family val="2"/>
    </font>
    <font>
      <sz val="9"/>
      <color theme="1"/>
      <name val="Arial"/>
      <family val="2"/>
    </font>
  </fonts>
  <fills count="26">
    <fill>
      <patternFill patternType="none"/>
    </fill>
    <fill>
      <patternFill patternType="gray125"/>
    </fill>
    <fill>
      <patternFill patternType="solid">
        <fgColor rgb="FF3D1A6E"/>
      </patternFill>
    </fill>
    <fill>
      <patternFill patternType="solid">
        <fgColor rgb="FFC0392B"/>
      </patternFill>
    </fill>
    <fill>
      <patternFill patternType="solid">
        <fgColor rgb="FF1A7A4A"/>
      </patternFill>
    </fill>
    <fill>
      <patternFill patternType="solid">
        <fgColor rgb="FF2E75B6"/>
      </patternFill>
    </fill>
    <fill>
      <patternFill patternType="solid">
        <fgColor rgb="FFFCE4D6"/>
      </patternFill>
    </fill>
    <fill>
      <patternFill patternType="solid">
        <fgColor rgb="FFE2EFDA"/>
      </patternFill>
    </fill>
    <fill>
      <patternFill patternType="solid">
        <fgColor rgb="FFD6E4F0"/>
      </patternFill>
    </fill>
    <fill>
      <patternFill patternType="solid">
        <fgColor rgb="FFFFF2CC"/>
      </patternFill>
    </fill>
    <fill>
      <patternFill patternType="solid">
        <fgColor rgb="FF4A0E8F"/>
      </patternFill>
    </fill>
    <fill>
      <patternFill patternType="solid">
        <fgColor rgb="FFEDE0FF"/>
      </patternFill>
    </fill>
    <fill>
      <patternFill patternType="solid">
        <fgColor rgb="FF7B2FBE"/>
      </patternFill>
    </fill>
    <fill>
      <patternFill patternType="solid">
        <fgColor rgb="FFF5EEFF"/>
      </patternFill>
    </fill>
    <fill>
      <patternFill patternType="solid">
        <fgColor rgb="FF00897B"/>
      </patternFill>
    </fill>
    <fill>
      <patternFill patternType="solid">
        <fgColor rgb="FFE0F5F2"/>
      </patternFill>
    </fill>
    <fill>
      <patternFill patternType="solid">
        <fgColor rgb="FF1976D2"/>
      </patternFill>
    </fill>
    <fill>
      <patternFill patternType="solid">
        <fgColor rgb="FFE8F4FD"/>
      </patternFill>
    </fill>
    <fill>
      <patternFill patternType="solid">
        <fgColor rgb="FFFFFF00"/>
        <bgColor indexed="64"/>
      </patternFill>
    </fill>
    <fill>
      <patternFill patternType="solid">
        <fgColor rgb="FFE2EFDA"/>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2F6FC"/>
      </patternFill>
    </fill>
    <fill>
      <patternFill patternType="solid">
        <fgColor rgb="FFF2F2F2"/>
        <bgColor rgb="FF000000"/>
      </patternFill>
    </fill>
    <fill>
      <patternFill patternType="solid">
        <fgColor theme="0" tint="-4.9989318521683403E-2"/>
        <bgColor rgb="FF000000"/>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bottom style="thin">
        <color rgb="FF1F3864"/>
      </bottom>
      <diagonal/>
    </border>
    <border>
      <left style="thin">
        <color rgb="FFD0D0D0"/>
      </left>
      <right style="thin">
        <color rgb="FFD0D0D0"/>
      </right>
      <top style="thin">
        <color rgb="FFD0D0D0"/>
      </top>
      <bottom style="thin">
        <color rgb="FFD0D0D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top/>
      <bottom/>
      <diagonal/>
    </border>
  </borders>
  <cellStyleXfs count="2">
    <xf numFmtId="0" fontId="0" fillId="0" borderId="0"/>
    <xf numFmtId="0" fontId="31" fillId="0" borderId="0"/>
  </cellStyleXfs>
  <cellXfs count="13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1" fillId="13"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3" fillId="15" borderId="1" xfId="0" applyFont="1" applyFill="1" applyBorder="1" applyAlignment="1">
      <alignment horizontal="left" vertical="center" wrapText="1"/>
    </xf>
    <xf numFmtId="0" fontId="12" fillId="15"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4" fillId="17"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7" fillId="15" borderId="1" xfId="0" applyFont="1" applyFill="1" applyBorder="1" applyAlignment="1">
      <alignment horizontal="center" vertical="center" wrapText="1"/>
    </xf>
    <xf numFmtId="0" fontId="17" fillId="15" borderId="1" xfId="0" applyFont="1" applyFill="1" applyBorder="1" applyAlignment="1">
      <alignment horizontal="left" vertical="center" wrapText="1"/>
    </xf>
    <xf numFmtId="0" fontId="18" fillId="15" borderId="1" xfId="0" applyFont="1" applyFill="1" applyBorder="1" applyAlignment="1">
      <alignment horizontal="left" vertical="center" wrapText="1"/>
    </xf>
    <xf numFmtId="0" fontId="19" fillId="13" borderId="1" xfId="0" applyFont="1" applyFill="1" applyBorder="1" applyAlignment="1">
      <alignment horizontal="left" vertical="center" wrapText="1"/>
    </xf>
    <xf numFmtId="0" fontId="20" fillId="17" borderId="1" xfId="0" applyFont="1" applyFill="1" applyBorder="1" applyAlignment="1">
      <alignment horizontal="left" vertical="center" wrapText="1"/>
    </xf>
    <xf numFmtId="0" fontId="18" fillId="17" borderId="1" xfId="0" applyFont="1" applyFill="1" applyBorder="1" applyAlignment="1">
      <alignment horizontal="left" vertical="center" wrapText="1"/>
    </xf>
    <xf numFmtId="0" fontId="20" fillId="17" borderId="1" xfId="0" applyFont="1" applyFill="1" applyBorder="1" applyAlignment="1">
      <alignment horizontal="center" vertical="center" wrapText="1"/>
    </xf>
    <xf numFmtId="0" fontId="22" fillId="15" borderId="1"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7" fillId="0" borderId="0" xfId="0" applyFont="1"/>
    <xf numFmtId="0" fontId="18" fillId="13"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24" fillId="1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11" borderId="1" xfId="0" applyFont="1" applyFill="1" applyBorder="1" applyAlignment="1">
      <alignment horizontal="left" vertical="center" wrapText="1"/>
    </xf>
    <xf numFmtId="0" fontId="29" fillId="11" borderId="1" xfId="0" applyFont="1" applyFill="1" applyBorder="1" applyAlignment="1">
      <alignment horizontal="left" vertical="center" wrapText="1"/>
    </xf>
    <xf numFmtId="0" fontId="23" fillId="12"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30" fillId="17" borderId="1" xfId="0" applyFont="1" applyFill="1" applyBorder="1" applyAlignment="1">
      <alignment horizontal="left" vertical="center" wrapText="1"/>
    </xf>
    <xf numFmtId="0" fontId="32" fillId="0" borderId="0" xfId="0" applyFont="1"/>
    <xf numFmtId="0" fontId="33" fillId="17" borderId="1" xfId="0" applyFont="1" applyFill="1" applyBorder="1" applyAlignment="1">
      <alignment horizontal="left" vertical="center" wrapText="1"/>
    </xf>
    <xf numFmtId="0" fontId="0" fillId="0" borderId="0" xfId="0" applyAlignment="1">
      <alignment horizontal="center"/>
    </xf>
    <xf numFmtId="0" fontId="7" fillId="11"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29" fillId="11" borderId="1" xfId="0"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5" fillId="15" borderId="1" xfId="0" applyFont="1" applyFill="1" applyBorder="1" applyAlignment="1">
      <alignment horizontal="left" vertical="center" wrapText="1"/>
    </xf>
    <xf numFmtId="0" fontId="0" fillId="0" borderId="0" xfId="0" applyAlignment="1">
      <alignment horizontal="center" wrapText="1"/>
    </xf>
    <xf numFmtId="0" fontId="15" fillId="17"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0" fillId="22" borderId="0" xfId="0" applyFill="1" applyAlignment="1">
      <alignment horizontal="center" wrapText="1"/>
    </xf>
    <xf numFmtId="0" fontId="34" fillId="0" borderId="0" xfId="0" applyFont="1"/>
    <xf numFmtId="0" fontId="35" fillId="22" borderId="1" xfId="0" applyFont="1" applyFill="1" applyBorder="1" applyAlignment="1">
      <alignment horizontal="center" vertical="center" wrapText="1"/>
    </xf>
    <xf numFmtId="0" fontId="36" fillId="22" borderId="1"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37" fillId="21" borderId="1" xfId="0" applyFont="1" applyFill="1" applyBorder="1" applyAlignment="1">
      <alignment horizontal="center" vertical="center" wrapText="1"/>
    </xf>
    <xf numFmtId="0" fontId="32" fillId="0" borderId="0" xfId="0" applyFont="1" applyAlignment="1">
      <alignment horizontal="left"/>
    </xf>
    <xf numFmtId="0" fontId="39" fillId="0" borderId="0" xfId="0" applyFont="1" applyAlignment="1">
      <alignment vertical="center"/>
    </xf>
    <xf numFmtId="0" fontId="41" fillId="5" borderId="2" xfId="0" applyFont="1" applyFill="1" applyBorder="1" applyAlignment="1">
      <alignment horizontal="center" vertical="center" wrapText="1"/>
    </xf>
    <xf numFmtId="0" fontId="42" fillId="8" borderId="3" xfId="0" applyFont="1" applyFill="1" applyBorder="1" applyAlignment="1">
      <alignment vertical="top" wrapText="1"/>
    </xf>
    <xf numFmtId="0" fontId="43" fillId="23" borderId="3" xfId="0" applyFont="1" applyFill="1" applyBorder="1" applyAlignment="1">
      <alignment vertical="top" wrapText="1"/>
    </xf>
    <xf numFmtId="0" fontId="44" fillId="23" borderId="3" xfId="0" applyFont="1" applyFill="1" applyBorder="1" applyAlignment="1">
      <alignment vertical="top" wrapText="1"/>
    </xf>
    <xf numFmtId="0" fontId="44" fillId="9" borderId="3" xfId="0" applyFont="1" applyFill="1" applyBorder="1" applyAlignment="1">
      <alignment vertical="top" wrapText="1"/>
    </xf>
    <xf numFmtId="0" fontId="45" fillId="0" borderId="3" xfId="0" applyFont="1" applyBorder="1" applyAlignment="1">
      <alignment vertical="top" wrapText="1"/>
    </xf>
    <xf numFmtId="0" fontId="0" fillId="8" borderId="3" xfId="0" applyFill="1" applyBorder="1"/>
    <xf numFmtId="0" fontId="43" fillId="0" borderId="3" xfId="0" applyFont="1" applyBorder="1" applyAlignment="1">
      <alignment vertical="top" wrapText="1"/>
    </xf>
    <xf numFmtId="0" fontId="44" fillId="0" borderId="3" xfId="0" applyFont="1" applyBorder="1" applyAlignment="1">
      <alignment vertical="top" wrapText="1"/>
    </xf>
    <xf numFmtId="0" fontId="47" fillId="18"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left" vertical="center" wrapText="1"/>
    </xf>
    <xf numFmtId="0" fontId="12" fillId="0" borderId="0" xfId="0" applyFont="1" applyAlignment="1">
      <alignment horizontal="left" vertical="center" wrapText="1"/>
    </xf>
    <xf numFmtId="0" fontId="30" fillId="0" borderId="0" xfId="0" applyFont="1" applyAlignment="1">
      <alignment horizontal="left" vertical="center" wrapText="1"/>
    </xf>
    <xf numFmtId="0" fontId="38" fillId="0" borderId="0" xfId="0" applyFont="1" applyAlignment="1">
      <alignment horizontal="left" vertical="center" wrapText="1"/>
    </xf>
    <xf numFmtId="0" fontId="29" fillId="0" borderId="0" xfId="0" applyFont="1" applyAlignment="1">
      <alignment horizontal="left" vertical="center" wrapText="1"/>
    </xf>
    <xf numFmtId="0" fontId="18" fillId="0" borderId="0" xfId="0" applyFont="1" applyAlignment="1">
      <alignment horizontal="left" vertical="center" wrapText="1"/>
    </xf>
    <xf numFmtId="0" fontId="48" fillId="17" borderId="1" xfId="0" applyFont="1" applyFill="1" applyBorder="1" applyAlignment="1">
      <alignment horizontal="left" vertical="center" wrapText="1"/>
    </xf>
    <xf numFmtId="0" fontId="0" fillId="22" borderId="0" xfId="0" applyFill="1" applyAlignment="1">
      <alignment horizontal="center" vertical="center" wrapText="1"/>
    </xf>
    <xf numFmtId="0" fontId="0" fillId="22" borderId="0" xfId="0" applyFill="1" applyAlignment="1">
      <alignment vertical="center" wrapText="1"/>
    </xf>
    <xf numFmtId="0" fontId="51" fillId="24" borderId="0" xfId="0" applyFont="1" applyFill="1" applyAlignment="1">
      <alignment vertical="center" wrapText="1"/>
    </xf>
    <xf numFmtId="0" fontId="52" fillId="0" borderId="0" xfId="0" applyFont="1" applyAlignment="1">
      <alignment horizontal="left"/>
    </xf>
    <xf numFmtId="0" fontId="53" fillId="0" borderId="0" xfId="0" applyFont="1" applyAlignment="1">
      <alignment horizontal="left"/>
    </xf>
    <xf numFmtId="0" fontId="54" fillId="22" borderId="0" xfId="0" applyFont="1" applyFill="1" applyAlignment="1">
      <alignment vertical="center" wrapText="1"/>
    </xf>
    <xf numFmtId="0" fontId="54" fillId="24" borderId="0" xfId="0" applyFont="1" applyFill="1" applyAlignment="1">
      <alignment horizontal="center" vertical="center" wrapText="1"/>
    </xf>
    <xf numFmtId="0" fontId="56" fillId="22" borderId="1" xfId="0" applyFont="1" applyFill="1" applyBorder="1" applyAlignment="1">
      <alignment horizontal="left" vertical="center" wrapText="1"/>
    </xf>
    <xf numFmtId="0" fontId="57" fillId="16"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0" fontId="58" fillId="17" borderId="1" xfId="0" applyFont="1" applyFill="1" applyBorder="1" applyAlignment="1">
      <alignment horizontal="left" vertical="center" wrapText="1"/>
    </xf>
    <xf numFmtId="0" fontId="58" fillId="17" borderId="1" xfId="0" applyFont="1" applyFill="1" applyBorder="1" applyAlignment="1">
      <alignment horizontal="center" vertical="center" wrapText="1"/>
    </xf>
    <xf numFmtId="0" fontId="59" fillId="6" borderId="1" xfId="0" applyFont="1" applyFill="1" applyBorder="1" applyAlignment="1">
      <alignment horizontal="left" vertical="center" wrapText="1"/>
    </xf>
    <xf numFmtId="0" fontId="60" fillId="7" borderId="1" xfId="0" applyFont="1" applyFill="1" applyBorder="1" applyAlignment="1">
      <alignment horizontal="left" vertical="center" wrapText="1"/>
    </xf>
    <xf numFmtId="0" fontId="58" fillId="0" borderId="0" xfId="0" applyFont="1" applyAlignment="1">
      <alignment horizontal="left" vertical="center" wrapText="1"/>
    </xf>
    <xf numFmtId="0" fontId="58" fillId="13" borderId="1" xfId="0" applyFont="1" applyFill="1" applyBorder="1" applyAlignment="1">
      <alignment horizontal="center" vertical="center" wrapText="1"/>
    </xf>
    <xf numFmtId="0" fontId="54" fillId="22" borderId="0" xfId="0" applyFont="1" applyFill="1" applyAlignment="1">
      <alignment horizontal="center" wrapText="1"/>
    </xf>
    <xf numFmtId="0" fontId="61" fillId="22" borderId="0" xfId="0" applyFont="1" applyFill="1" applyAlignment="1">
      <alignment vertical="center" wrapText="1"/>
    </xf>
    <xf numFmtId="0" fontId="63" fillId="24" borderId="0" xfId="0" applyFont="1" applyFill="1" applyAlignment="1">
      <alignment vertical="center" wrapText="1"/>
    </xf>
    <xf numFmtId="0" fontId="62" fillId="0" borderId="0" xfId="0" applyFont="1" applyAlignment="1">
      <alignment horizontal="left"/>
    </xf>
    <xf numFmtId="0" fontId="61" fillId="22" borderId="0" xfId="0" applyFont="1" applyFill="1" applyAlignment="1">
      <alignment horizontal="center" wrapText="1"/>
    </xf>
    <xf numFmtId="0" fontId="66" fillId="0" borderId="0" xfId="0" applyFont="1"/>
    <xf numFmtId="0" fontId="12" fillId="17" borderId="1" xfId="0" quotePrefix="1" applyFont="1" applyFill="1" applyBorder="1" applyAlignment="1">
      <alignment horizontal="left" vertical="center" wrapText="1"/>
    </xf>
    <xf numFmtId="0" fontId="67" fillId="0" borderId="0" xfId="0" applyFont="1" applyAlignment="1">
      <alignment horizontal="center" wrapText="1"/>
    </xf>
    <xf numFmtId="0" fontId="68" fillId="0" borderId="0" xfId="0" applyFont="1" applyAlignment="1">
      <alignment horizontal="center" wrapText="1"/>
    </xf>
    <xf numFmtId="0" fontId="0" fillId="18" borderId="0" xfId="0" applyFill="1" applyAlignment="1">
      <alignment horizontal="center" wrapText="1"/>
    </xf>
    <xf numFmtId="0" fontId="16" fillId="0" borderId="0" xfId="0" applyFont="1"/>
    <xf numFmtId="0" fontId="51" fillId="25" borderId="0" xfId="0" applyFont="1" applyFill="1" applyAlignment="1">
      <alignment vertical="center" wrapText="1"/>
    </xf>
    <xf numFmtId="0" fontId="0" fillId="0" borderId="0" xfId="0" quotePrefix="1" applyAlignment="1">
      <alignment wrapText="1"/>
    </xf>
    <xf numFmtId="0" fontId="12" fillId="15" borderId="1" xfId="0" quotePrefix="1" applyFont="1" applyFill="1" applyBorder="1" applyAlignment="1">
      <alignment horizontal="left" vertical="center" wrapText="1"/>
    </xf>
    <xf numFmtId="0" fontId="49" fillId="25" borderId="0" xfId="0" applyFont="1" applyFill="1" applyAlignment="1">
      <alignment vertical="center" wrapText="1"/>
    </xf>
    <xf numFmtId="0" fontId="50" fillId="0" borderId="0" xfId="0" applyFont="1" applyAlignment="1">
      <alignment horizontal="center" wrapText="1"/>
    </xf>
    <xf numFmtId="0" fontId="50" fillId="22" borderId="0" xfId="0" applyFont="1" applyFill="1" applyAlignment="1">
      <alignment horizontal="center" wrapText="1"/>
    </xf>
    <xf numFmtId="0" fontId="61" fillId="0" borderId="0" xfId="0" applyFont="1" applyAlignment="1">
      <alignment horizontal="center" wrapText="1"/>
    </xf>
    <xf numFmtId="0" fontId="47" fillId="18" borderId="7" xfId="0" applyFont="1" applyFill="1" applyBorder="1" applyAlignment="1">
      <alignment horizontal="center" vertical="center" wrapText="1"/>
    </xf>
    <xf numFmtId="0" fontId="0" fillId="0" borderId="0" xfId="0" applyAlignment="1">
      <alignment wrapText="1"/>
    </xf>
    <xf numFmtId="0" fontId="16" fillId="0" borderId="0" xfId="0" applyFont="1" applyAlignment="1">
      <alignment wrapText="1"/>
    </xf>
    <xf numFmtId="0" fontId="16" fillId="18" borderId="0" xfId="0" applyFont="1" applyFill="1" applyAlignment="1">
      <alignment wrapText="1"/>
    </xf>
    <xf numFmtId="0" fontId="54" fillId="0" borderId="0" xfId="0" applyFont="1" applyAlignment="1">
      <alignment horizontal="center" wrapText="1"/>
    </xf>
    <xf numFmtId="0" fontId="72" fillId="17" borderId="1" xfId="0" applyFont="1" applyFill="1" applyBorder="1" applyAlignment="1">
      <alignment horizontal="left" vertical="center" wrapText="1"/>
    </xf>
    <xf numFmtId="0" fontId="16" fillId="18" borderId="4" xfId="0" applyFont="1" applyFill="1" applyBorder="1" applyAlignment="1">
      <alignment horizontal="center"/>
    </xf>
    <xf numFmtId="0" fontId="16" fillId="18" borderId="5" xfId="0" applyFont="1" applyFill="1" applyBorder="1" applyAlignment="1">
      <alignment horizontal="center"/>
    </xf>
    <xf numFmtId="0" fontId="16" fillId="18" borderId="6" xfId="0" applyFont="1" applyFill="1" applyBorder="1" applyAlignment="1">
      <alignment horizontal="center"/>
    </xf>
    <xf numFmtId="0" fontId="40" fillId="0" borderId="0" xfId="0" applyFont="1"/>
    <xf numFmtId="0" fontId="46" fillId="0" borderId="0" xfId="0" applyFont="1"/>
  </cellXfs>
  <cellStyles count="2">
    <cellStyle name="Normal" xfId="0" builtinId="0"/>
    <cellStyle name="Normal 2" xfId="1" xr:uid="{C1C53F91-24C0-4218-9544-8A323A888A5A}"/>
  </cellStyles>
  <dxfs count="0"/>
  <tableStyles count="0" defaultTableStyle="TableStyleMedium9" defaultPivotStyle="PivotStyleLight16"/>
  <colors>
    <mruColors>
      <color rgb="FF1A7A4A"/>
      <color rgb="FF2E75B6"/>
      <color rgb="FFE2EFDA"/>
      <color rgb="FF7B2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Ellis, Nicola" id="{88B8863C-EC55-47B0-B904-88CE4FD29113}" userId="S::nellis@alvarezandmarsal.com::311e9e45-d31f-4fc7-b656-fdfe2a9bbca9" providerId="AD"/>
  <person displayName="Patel, Nisha" id="{5255B49F-CC88-4E6E-8ADB-8722B7BF8056}" userId="S::NBhagani@alvarezandmarsal.com::307efd76-54a7-477f-9689-b229b051d52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96" dT="2026-05-06T09:18:59.37" personId="{88B8863C-EC55-47B0-B904-88CE4FD29113}" id="{222022D2-4A74-46F4-9DBA-7649A59A6A06}" done="1">
    <text>I’ve linked Yes to the next step - not sure where to link no to?</text>
  </threadedComment>
  <threadedComment ref="H96" dT="2026-05-12T15:05:04.71" personId="{5255B49F-CC88-4E6E-8ADB-8722B7BF8056}" id="{8721B33A-113B-469C-86EE-F4F8CBF69CA6}" parentId="{222022D2-4A74-46F4-9DBA-7649A59A6A06}">
    <text>Updated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62A0-24D2-4A37-94A7-BB1B161E7090}">
  <sheetPr>
    <pageSetUpPr fitToPage="1"/>
  </sheetPr>
  <dimension ref="A1:G26"/>
  <sheetViews>
    <sheetView zoomScaleNormal="100" workbookViewId="0">
      <pane ySplit="3" topLeftCell="A4" activePane="bottomLeft" state="frozen"/>
      <selection pane="bottomLeft" activeCell="D6" sqref="D6"/>
    </sheetView>
  </sheetViews>
  <sheetFormatPr defaultRowHeight="14.5" x14ac:dyDescent="0.35"/>
  <cols>
    <col min="1" max="1" width="22" customWidth="1"/>
    <col min="2" max="2" width="24" customWidth="1"/>
    <col min="3" max="3" width="52" customWidth="1"/>
    <col min="4" max="4" width="48" customWidth="1"/>
    <col min="5" max="5" width="52" customWidth="1"/>
    <col min="6" max="6" width="30" customWidth="1"/>
    <col min="7" max="7" width="52" customWidth="1"/>
  </cols>
  <sheetData>
    <row r="1" spans="1:7" ht="36" customHeight="1" x14ac:dyDescent="0.35">
      <c r="A1" s="67" t="s">
        <v>833</v>
      </c>
      <c r="B1" s="67"/>
      <c r="C1" s="67"/>
      <c r="D1" s="67"/>
      <c r="E1" s="67"/>
      <c r="F1" s="67"/>
      <c r="G1" s="67"/>
    </row>
    <row r="2" spans="1:7" ht="22" customHeight="1" x14ac:dyDescent="0.35">
      <c r="A2" s="130" t="s">
        <v>1060</v>
      </c>
      <c r="B2" s="130"/>
      <c r="C2" s="130"/>
      <c r="D2" s="130"/>
      <c r="E2" s="130"/>
      <c r="F2" s="130"/>
      <c r="G2" s="130"/>
    </row>
    <row r="3" spans="1:7" ht="36" customHeight="1" x14ac:dyDescent="0.35">
      <c r="A3" s="68" t="s">
        <v>834</v>
      </c>
      <c r="B3" s="68" t="s">
        <v>835</v>
      </c>
      <c r="C3" s="68" t="s">
        <v>836</v>
      </c>
      <c r="D3" s="68" t="s">
        <v>837</v>
      </c>
      <c r="E3" s="68" t="s">
        <v>838</v>
      </c>
      <c r="F3" s="68" t="s">
        <v>839</v>
      </c>
      <c r="G3" s="68" t="s">
        <v>840</v>
      </c>
    </row>
    <row r="4" spans="1:7" ht="80.150000000000006" customHeight="1" x14ac:dyDescent="0.35">
      <c r="A4" s="69" t="s">
        <v>841</v>
      </c>
      <c r="B4" s="70" t="s">
        <v>842</v>
      </c>
      <c r="C4" s="71" t="s">
        <v>843</v>
      </c>
      <c r="D4" s="71" t="s">
        <v>844</v>
      </c>
      <c r="E4" s="72" t="s">
        <v>845</v>
      </c>
      <c r="F4" s="71" t="s">
        <v>846</v>
      </c>
      <c r="G4" s="73" t="s">
        <v>847</v>
      </c>
    </row>
    <row r="5" spans="1:7" ht="80.150000000000006" customHeight="1" x14ac:dyDescent="0.35">
      <c r="A5" s="74"/>
      <c r="B5" s="75" t="s">
        <v>848</v>
      </c>
      <c r="C5" s="76" t="s">
        <v>849</v>
      </c>
      <c r="D5" s="76" t="s">
        <v>850</v>
      </c>
      <c r="E5" s="72" t="s">
        <v>851</v>
      </c>
      <c r="F5" s="76" t="s">
        <v>852</v>
      </c>
      <c r="G5" s="73" t="s">
        <v>853</v>
      </c>
    </row>
    <row r="6" spans="1:7" ht="80.150000000000006" customHeight="1" x14ac:dyDescent="0.35">
      <c r="A6" s="74"/>
      <c r="B6" s="70" t="s">
        <v>854</v>
      </c>
      <c r="C6" s="71" t="s">
        <v>855</v>
      </c>
      <c r="D6" s="71" t="s">
        <v>856</v>
      </c>
      <c r="E6" s="72" t="s">
        <v>857</v>
      </c>
      <c r="F6" s="71" t="s">
        <v>858</v>
      </c>
      <c r="G6" s="73" t="s">
        <v>859</v>
      </c>
    </row>
    <row r="7" spans="1:7" ht="80.150000000000006" customHeight="1" x14ac:dyDescent="0.35">
      <c r="A7" s="74"/>
      <c r="B7" s="75" t="s">
        <v>860</v>
      </c>
      <c r="C7" s="76" t="s">
        <v>861</v>
      </c>
      <c r="D7" s="76" t="s">
        <v>862</v>
      </c>
      <c r="E7" s="72" t="s">
        <v>863</v>
      </c>
      <c r="F7" s="76" t="s">
        <v>864</v>
      </c>
      <c r="G7" s="73" t="s">
        <v>865</v>
      </c>
    </row>
    <row r="8" spans="1:7" ht="80.150000000000006" customHeight="1" x14ac:dyDescent="0.35">
      <c r="A8" s="74"/>
      <c r="B8" s="70" t="s">
        <v>866</v>
      </c>
      <c r="C8" s="71" t="s">
        <v>867</v>
      </c>
      <c r="D8" s="71" t="s">
        <v>868</v>
      </c>
      <c r="E8" s="72" t="s">
        <v>869</v>
      </c>
      <c r="F8" s="71" t="s">
        <v>870</v>
      </c>
      <c r="G8" s="73" t="s">
        <v>871</v>
      </c>
    </row>
    <row r="9" spans="1:7" ht="80.150000000000006" customHeight="1" x14ac:dyDescent="0.35">
      <c r="A9" s="74"/>
      <c r="B9" s="75" t="s">
        <v>872</v>
      </c>
      <c r="C9" s="76" t="s">
        <v>873</v>
      </c>
      <c r="D9" s="76" t="s">
        <v>874</v>
      </c>
      <c r="E9" s="72" t="s">
        <v>875</v>
      </c>
      <c r="F9" s="76" t="s">
        <v>876</v>
      </c>
      <c r="G9" s="73" t="s">
        <v>877</v>
      </c>
    </row>
    <row r="10" spans="1:7" ht="80.150000000000006" customHeight="1" x14ac:dyDescent="0.35">
      <c r="A10" s="69" t="s">
        <v>878</v>
      </c>
      <c r="B10" s="70" t="s">
        <v>879</v>
      </c>
      <c r="C10" s="71" t="s">
        <v>880</v>
      </c>
      <c r="D10" s="71" t="s">
        <v>881</v>
      </c>
      <c r="E10" s="72" t="s">
        <v>882</v>
      </c>
      <c r="F10" s="71" t="s">
        <v>883</v>
      </c>
      <c r="G10" s="73" t="s">
        <v>884</v>
      </c>
    </row>
    <row r="11" spans="1:7" ht="80.150000000000006" customHeight="1" x14ac:dyDescent="0.35">
      <c r="A11" s="74"/>
      <c r="B11" s="75" t="s">
        <v>885</v>
      </c>
      <c r="C11" s="76" t="s">
        <v>886</v>
      </c>
      <c r="D11" s="76" t="s">
        <v>887</v>
      </c>
      <c r="E11" s="72" t="s">
        <v>888</v>
      </c>
      <c r="F11" s="76" t="s">
        <v>889</v>
      </c>
      <c r="G11" s="73" t="s">
        <v>890</v>
      </c>
    </row>
    <row r="12" spans="1:7" ht="80.150000000000006" customHeight="1" x14ac:dyDescent="0.35">
      <c r="A12" s="69" t="s">
        <v>891</v>
      </c>
      <c r="B12" s="70" t="s">
        <v>14</v>
      </c>
      <c r="C12" s="71" t="s">
        <v>892</v>
      </c>
      <c r="D12" s="71" t="s">
        <v>893</v>
      </c>
      <c r="E12" s="72" t="s">
        <v>894</v>
      </c>
      <c r="F12" s="71" t="s">
        <v>895</v>
      </c>
      <c r="G12" s="73" t="s">
        <v>896</v>
      </c>
    </row>
    <row r="13" spans="1:7" ht="80.150000000000006" customHeight="1" x14ac:dyDescent="0.35">
      <c r="A13" s="74"/>
      <c r="B13" s="75" t="s">
        <v>897</v>
      </c>
      <c r="C13" s="76" t="s">
        <v>898</v>
      </c>
      <c r="D13" s="76" t="s">
        <v>899</v>
      </c>
      <c r="E13" s="72" t="s">
        <v>900</v>
      </c>
      <c r="F13" s="76" t="s">
        <v>901</v>
      </c>
      <c r="G13" s="73" t="s">
        <v>902</v>
      </c>
    </row>
    <row r="14" spans="1:7" ht="80.150000000000006" customHeight="1" x14ac:dyDescent="0.35">
      <c r="A14" s="74"/>
      <c r="B14" s="70" t="s">
        <v>903</v>
      </c>
      <c r="C14" s="71" t="s">
        <v>904</v>
      </c>
      <c r="D14" s="71" t="s">
        <v>905</v>
      </c>
      <c r="E14" s="72" t="s">
        <v>906</v>
      </c>
      <c r="F14" s="71" t="s">
        <v>907</v>
      </c>
      <c r="G14" s="73" t="s">
        <v>908</v>
      </c>
    </row>
    <row r="15" spans="1:7" ht="80.150000000000006" customHeight="1" x14ac:dyDescent="0.35">
      <c r="A15" s="74"/>
      <c r="B15" s="75" t="s">
        <v>909</v>
      </c>
      <c r="C15" s="76" t="s">
        <v>910</v>
      </c>
      <c r="D15" s="76" t="s">
        <v>911</v>
      </c>
      <c r="E15" s="72" t="s">
        <v>912</v>
      </c>
      <c r="F15" s="76" t="s">
        <v>913</v>
      </c>
      <c r="G15" s="73" t="s">
        <v>914</v>
      </c>
    </row>
    <row r="16" spans="1:7" ht="80.150000000000006" customHeight="1" x14ac:dyDescent="0.35">
      <c r="A16" s="74"/>
      <c r="B16" s="70" t="s">
        <v>915</v>
      </c>
      <c r="C16" s="71" t="s">
        <v>916</v>
      </c>
      <c r="D16" s="71" t="s">
        <v>917</v>
      </c>
      <c r="E16" s="72" t="s">
        <v>918</v>
      </c>
      <c r="F16" s="71" t="s">
        <v>919</v>
      </c>
      <c r="G16" s="73" t="s">
        <v>920</v>
      </c>
    </row>
    <row r="17" spans="1:7" ht="80.150000000000006" customHeight="1" x14ac:dyDescent="0.35">
      <c r="A17" s="69" t="s">
        <v>921</v>
      </c>
      <c r="B17" s="75" t="s">
        <v>922</v>
      </c>
      <c r="C17" s="76" t="s">
        <v>923</v>
      </c>
      <c r="D17" s="76" t="s">
        <v>924</v>
      </c>
      <c r="E17" s="72" t="s">
        <v>925</v>
      </c>
      <c r="F17" s="76" t="s">
        <v>926</v>
      </c>
      <c r="G17" s="73" t="s">
        <v>927</v>
      </c>
    </row>
    <row r="18" spans="1:7" ht="80.150000000000006" customHeight="1" x14ac:dyDescent="0.35">
      <c r="A18" s="74"/>
      <c r="B18" s="70" t="s">
        <v>928</v>
      </c>
      <c r="C18" s="71" t="s">
        <v>929</v>
      </c>
      <c r="D18" s="71" t="s">
        <v>930</v>
      </c>
      <c r="E18" s="72" t="s">
        <v>931</v>
      </c>
      <c r="F18" s="71" t="s">
        <v>932</v>
      </c>
      <c r="G18" s="73" t="s">
        <v>933</v>
      </c>
    </row>
    <row r="19" spans="1:7" ht="80.150000000000006" customHeight="1" x14ac:dyDescent="0.35">
      <c r="A19" s="69" t="s">
        <v>934</v>
      </c>
      <c r="B19" s="75" t="s">
        <v>325</v>
      </c>
      <c r="C19" s="76" t="s">
        <v>935</v>
      </c>
      <c r="D19" s="76" t="s">
        <v>936</v>
      </c>
      <c r="E19" s="72" t="s">
        <v>937</v>
      </c>
      <c r="F19" s="76" t="s">
        <v>938</v>
      </c>
      <c r="G19" s="73" t="s">
        <v>939</v>
      </c>
    </row>
    <row r="20" spans="1:7" ht="80.150000000000006" customHeight="1" x14ac:dyDescent="0.35">
      <c r="A20" s="74"/>
      <c r="B20" s="70" t="s">
        <v>940</v>
      </c>
      <c r="C20" s="71" t="s">
        <v>941</v>
      </c>
      <c r="D20" s="71" t="s">
        <v>942</v>
      </c>
      <c r="E20" s="72" t="s">
        <v>943</v>
      </c>
      <c r="F20" s="71" t="s">
        <v>944</v>
      </c>
      <c r="G20" s="73" t="s">
        <v>945</v>
      </c>
    </row>
    <row r="21" spans="1:7" ht="80.150000000000006" customHeight="1" x14ac:dyDescent="0.35">
      <c r="A21" s="69" t="s">
        <v>946</v>
      </c>
      <c r="B21" s="75" t="s">
        <v>947</v>
      </c>
      <c r="C21" s="76" t="s">
        <v>948</v>
      </c>
      <c r="D21" s="76" t="s">
        <v>949</v>
      </c>
      <c r="E21" s="72" t="s">
        <v>950</v>
      </c>
      <c r="F21" s="76" t="s">
        <v>951</v>
      </c>
      <c r="G21" s="73" t="s">
        <v>952</v>
      </c>
    </row>
    <row r="22" spans="1:7" ht="80.150000000000006" customHeight="1" x14ac:dyDescent="0.35">
      <c r="A22" s="74"/>
      <c r="B22" s="70" t="s">
        <v>953</v>
      </c>
      <c r="C22" s="71" t="s">
        <v>954</v>
      </c>
      <c r="D22" s="71" t="s">
        <v>955</v>
      </c>
      <c r="E22" s="72" t="s">
        <v>956</v>
      </c>
      <c r="F22" s="71" t="s">
        <v>957</v>
      </c>
      <c r="G22" s="73" t="s">
        <v>958</v>
      </c>
    </row>
    <row r="23" spans="1:7" ht="80.150000000000006" customHeight="1" x14ac:dyDescent="0.35">
      <c r="A23" s="69" t="s">
        <v>959</v>
      </c>
      <c r="B23" s="75" t="s">
        <v>960</v>
      </c>
      <c r="C23" s="76" t="s">
        <v>961</v>
      </c>
      <c r="D23" s="76" t="s">
        <v>962</v>
      </c>
      <c r="E23" s="72" t="s">
        <v>963</v>
      </c>
      <c r="F23" s="76" t="s">
        <v>964</v>
      </c>
      <c r="G23" s="73" t="s">
        <v>965</v>
      </c>
    </row>
    <row r="24" spans="1:7" ht="80.150000000000006" customHeight="1" x14ac:dyDescent="0.35">
      <c r="A24" s="74"/>
      <c r="B24" s="70" t="s">
        <v>966</v>
      </c>
      <c r="C24" s="71" t="s">
        <v>967</v>
      </c>
      <c r="D24" s="71" t="s">
        <v>968</v>
      </c>
      <c r="E24" s="72" t="s">
        <v>969</v>
      </c>
      <c r="F24" s="71" t="s">
        <v>932</v>
      </c>
      <c r="G24" s="73" t="s">
        <v>970</v>
      </c>
    </row>
    <row r="26" spans="1:7" x14ac:dyDescent="0.35">
      <c r="A26" s="131" t="s">
        <v>971</v>
      </c>
      <c r="B26" s="131"/>
      <c r="C26" s="131"/>
      <c r="D26" s="131"/>
      <c r="E26" s="131"/>
      <c r="F26" s="131"/>
      <c r="G26" s="131"/>
    </row>
  </sheetData>
  <mergeCells count="2">
    <mergeCell ref="A2:G2"/>
    <mergeCell ref="A26:G26"/>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AFF3-141C-4311-B2EC-84952B1647D4}">
  <dimension ref="A1:AE423"/>
  <sheetViews>
    <sheetView tabSelected="1" zoomScale="120" zoomScaleNormal="120" workbookViewId="0">
      <pane xSplit="7" ySplit="6" topLeftCell="H290" activePane="bottomRight" state="frozen"/>
      <selection pane="topRight" activeCell="G1" sqref="G1"/>
      <selection pane="bottomLeft" activeCell="A8" sqref="A8"/>
      <selection pane="bottomRight" activeCell="F292" sqref="F292"/>
    </sheetView>
  </sheetViews>
  <sheetFormatPr defaultRowHeight="14.5" outlineLevelRow="1" outlineLevelCol="1" x14ac:dyDescent="0.35"/>
  <cols>
    <col min="1" max="1" width="11.26953125" style="123" customWidth="1" outlineLevel="1"/>
    <col min="2" max="2" width="8.81640625" style="57" customWidth="1"/>
    <col min="3" max="3" width="24" style="61" customWidth="1"/>
    <col min="4" max="5" width="9" customWidth="1"/>
    <col min="6" max="6" width="28" customWidth="1"/>
    <col min="7" max="7" width="40" customWidth="1"/>
    <col min="8" max="8" width="17.453125" customWidth="1"/>
    <col min="9" max="9" width="12" style="48" customWidth="1"/>
    <col min="10" max="10" width="43.81640625" hidden="1" customWidth="1" outlineLevel="1"/>
    <col min="11" max="11" width="47" hidden="1" customWidth="1" outlineLevel="1"/>
    <col min="12" max="12" width="22.453125" hidden="1" customWidth="1" outlineLevel="1"/>
    <col min="13" max="13" width="47.54296875" hidden="1" customWidth="1" outlineLevel="1"/>
    <col min="14" max="17" width="20" hidden="1" customWidth="1" outlineLevel="1"/>
    <col min="18" max="18" width="20" customWidth="1" collapsed="1"/>
    <col min="19" max="20" width="22" customWidth="1"/>
    <col min="21" max="21" width="1.54296875" customWidth="1"/>
    <col min="22" max="22" width="30.1796875" style="57" customWidth="1" outlineLevel="1"/>
    <col min="23" max="23" width="39.1796875" style="57" customWidth="1" outlineLevel="1"/>
    <col min="24" max="24" width="38.1796875" style="57" customWidth="1" outlineLevel="1"/>
    <col min="25" max="26" width="10.453125" style="57" customWidth="1" outlineLevel="1"/>
    <col min="28" max="28" width="12.1796875" style="57" customWidth="1" outlineLevel="1"/>
    <col min="30" max="30" width="29" style="122" customWidth="1"/>
    <col min="31" max="31" width="22.1796875" style="122" customWidth="1"/>
  </cols>
  <sheetData>
    <row r="1" spans="1:31" x14ac:dyDescent="0.35">
      <c r="B1" s="66" t="s">
        <v>1005</v>
      </c>
      <c r="D1" s="46"/>
      <c r="H1" s="115"/>
      <c r="S1" s="108"/>
      <c r="W1" s="90" t="s">
        <v>1426</v>
      </c>
      <c r="X1" s="91" t="s">
        <v>1594</v>
      </c>
      <c r="Y1" s="106" t="s">
        <v>1615</v>
      </c>
      <c r="Z1" s="66"/>
      <c r="AB1" s="66"/>
    </row>
    <row r="2" spans="1:31" ht="15" thickBot="1" x14ac:dyDescent="0.4">
      <c r="B2" s="66"/>
      <c r="D2" s="46"/>
      <c r="S2" s="108"/>
      <c r="T2" s="108"/>
      <c r="W2" s="90"/>
      <c r="X2" s="91"/>
      <c r="Y2" s="106"/>
      <c r="Z2" s="66"/>
      <c r="AB2" s="66"/>
    </row>
    <row r="3" spans="1:31" ht="15" thickBot="1" x14ac:dyDescent="0.4">
      <c r="C3" s="61" t="s">
        <v>1675</v>
      </c>
      <c r="V3" s="127" t="s">
        <v>1049</v>
      </c>
      <c r="W3" s="128"/>
      <c r="X3" s="128"/>
      <c r="Y3" s="128"/>
      <c r="Z3" s="129"/>
      <c r="AB3" s="113" t="s">
        <v>1629</v>
      </c>
    </row>
    <row r="4" spans="1:31" outlineLevel="1" x14ac:dyDescent="0.35">
      <c r="B4" t="s">
        <v>6</v>
      </c>
      <c r="C4" t="s">
        <v>6</v>
      </c>
      <c r="D4" t="s">
        <v>6</v>
      </c>
      <c r="E4" t="s">
        <v>6</v>
      </c>
      <c r="F4" t="s">
        <v>6</v>
      </c>
      <c r="G4" t="s">
        <v>6</v>
      </c>
      <c r="H4" t="s">
        <v>6</v>
      </c>
      <c r="N4" s="34"/>
      <c r="O4" s="34"/>
      <c r="P4" s="34"/>
      <c r="Q4" s="34"/>
      <c r="R4" s="34" t="s">
        <v>6</v>
      </c>
      <c r="S4" s="34" t="s">
        <v>7</v>
      </c>
      <c r="T4" s="34" t="s">
        <v>7</v>
      </c>
      <c r="V4"/>
      <c r="W4"/>
      <c r="X4"/>
      <c r="Y4"/>
      <c r="Z4"/>
      <c r="AB4"/>
    </row>
    <row r="5" spans="1:31" ht="34.5" x14ac:dyDescent="0.35">
      <c r="B5" s="59" t="s">
        <v>342</v>
      </c>
      <c r="C5" s="65" t="s">
        <v>13</v>
      </c>
      <c r="D5" s="1" t="s">
        <v>8</v>
      </c>
      <c r="E5" s="1" t="s">
        <v>9</v>
      </c>
      <c r="F5" s="1" t="s">
        <v>10</v>
      </c>
      <c r="G5" s="1" t="s">
        <v>11</v>
      </c>
      <c r="H5" s="1" t="s">
        <v>12</v>
      </c>
      <c r="I5" s="1" t="s">
        <v>358</v>
      </c>
      <c r="J5" s="1" t="s">
        <v>522</v>
      </c>
      <c r="K5" s="1" t="s">
        <v>521</v>
      </c>
      <c r="L5" s="1" t="s">
        <v>523</v>
      </c>
      <c r="M5" s="1" t="s">
        <v>520</v>
      </c>
      <c r="N5" s="2" t="s">
        <v>1006</v>
      </c>
      <c r="O5" s="2" t="s">
        <v>1007</v>
      </c>
      <c r="P5" s="2" t="s">
        <v>1008</v>
      </c>
      <c r="Q5" s="2" t="s">
        <v>1009</v>
      </c>
      <c r="R5" s="3" t="s">
        <v>1046</v>
      </c>
      <c r="S5" s="3" t="s">
        <v>1047</v>
      </c>
      <c r="T5" s="3" t="s">
        <v>1048</v>
      </c>
      <c r="U5" s="78"/>
      <c r="V5" s="77" t="s">
        <v>1050</v>
      </c>
      <c r="W5" s="77" t="s">
        <v>1051</v>
      </c>
      <c r="X5" s="77" t="s">
        <v>1052</v>
      </c>
      <c r="Y5" s="77" t="s">
        <v>1053</v>
      </c>
      <c r="Z5" s="77" t="s">
        <v>1054</v>
      </c>
      <c r="AB5" s="77" t="s">
        <v>1628</v>
      </c>
      <c r="AD5" s="121" t="s">
        <v>1677</v>
      </c>
      <c r="AE5" s="122" t="s">
        <v>1704</v>
      </c>
    </row>
    <row r="6" spans="1:31" x14ac:dyDescent="0.35">
      <c r="B6" s="60"/>
      <c r="C6" s="62" t="s">
        <v>13</v>
      </c>
      <c r="D6" s="4" t="s">
        <v>15</v>
      </c>
      <c r="E6" s="4" t="s">
        <v>16</v>
      </c>
      <c r="F6" s="4" t="s">
        <v>10</v>
      </c>
      <c r="G6" s="4" t="s">
        <v>17</v>
      </c>
      <c r="H6" s="4" t="s">
        <v>18</v>
      </c>
      <c r="I6" s="4" t="s">
        <v>362</v>
      </c>
      <c r="J6" s="4" t="s">
        <v>17</v>
      </c>
      <c r="K6" s="4" t="s">
        <v>17</v>
      </c>
      <c r="L6" s="4" t="s">
        <v>17</v>
      </c>
      <c r="M6" s="4" t="s">
        <v>17</v>
      </c>
      <c r="N6" s="5" t="s">
        <v>19</v>
      </c>
      <c r="O6" s="5" t="s">
        <v>19</v>
      </c>
      <c r="P6" s="5" t="s">
        <v>19</v>
      </c>
      <c r="Q6" s="5" t="s">
        <v>19</v>
      </c>
      <c r="R6" s="36" t="s">
        <v>20</v>
      </c>
      <c r="S6" s="36" t="s">
        <v>21</v>
      </c>
      <c r="T6" s="37" t="s">
        <v>22</v>
      </c>
      <c r="U6" s="79"/>
      <c r="V6" s="60"/>
      <c r="W6" s="60"/>
      <c r="X6" s="60"/>
      <c r="Y6" s="60"/>
      <c r="Z6" s="60"/>
      <c r="AB6" s="60"/>
    </row>
    <row r="7" spans="1:31" ht="34.5" x14ac:dyDescent="0.35">
      <c r="B7" s="60"/>
      <c r="C7" s="63" t="s">
        <v>446</v>
      </c>
      <c r="D7" s="6" t="s">
        <v>0</v>
      </c>
      <c r="E7" s="7" t="s">
        <v>23</v>
      </c>
      <c r="F7" s="8" t="s">
        <v>24</v>
      </c>
      <c r="G7" s="9" t="s">
        <v>25</v>
      </c>
      <c r="H7" s="9" t="s">
        <v>4</v>
      </c>
      <c r="I7" s="49"/>
      <c r="J7" s="9"/>
      <c r="K7" s="9"/>
      <c r="L7" s="9"/>
      <c r="M7" s="9"/>
      <c r="N7" s="10"/>
      <c r="O7" s="10"/>
      <c r="P7" s="10"/>
      <c r="Q7" s="10"/>
      <c r="R7" s="33"/>
      <c r="S7" s="33"/>
      <c r="T7" s="11"/>
      <c r="U7" s="80"/>
      <c r="V7" s="60"/>
      <c r="W7" s="60"/>
      <c r="X7" s="60"/>
      <c r="Y7" s="60"/>
      <c r="Z7" s="60"/>
      <c r="AB7" s="60"/>
    </row>
    <row r="8" spans="1:31" ht="149.5" x14ac:dyDescent="0.35">
      <c r="B8" s="60"/>
      <c r="C8" s="63" t="s">
        <v>446</v>
      </c>
      <c r="D8" s="12" t="s">
        <v>1</v>
      </c>
      <c r="E8" s="13" t="s">
        <v>26</v>
      </c>
      <c r="F8" s="14" t="s">
        <v>332</v>
      </c>
      <c r="G8" s="15" t="s">
        <v>27</v>
      </c>
      <c r="H8" s="15" t="s">
        <v>5</v>
      </c>
      <c r="I8" s="50"/>
      <c r="J8" s="15" t="s">
        <v>1423</v>
      </c>
      <c r="K8" s="15" t="s">
        <v>1406</v>
      </c>
      <c r="L8" s="15" t="s">
        <v>575</v>
      </c>
      <c r="M8" s="15" t="s">
        <v>576</v>
      </c>
      <c r="N8" s="10" t="s">
        <v>28</v>
      </c>
      <c r="O8" s="10" t="s">
        <v>1409</v>
      </c>
      <c r="P8" s="10" t="s">
        <v>28</v>
      </c>
      <c r="Q8" s="10" t="s">
        <v>29</v>
      </c>
      <c r="R8" s="11" t="s">
        <v>33</v>
      </c>
      <c r="S8" s="11" t="s">
        <v>33</v>
      </c>
      <c r="T8" s="11"/>
      <c r="U8" s="81"/>
      <c r="V8" s="60"/>
      <c r="W8" s="92" t="s">
        <v>1600</v>
      </c>
      <c r="X8" s="60"/>
      <c r="Y8" s="60"/>
      <c r="Z8" s="60"/>
      <c r="AB8" s="60"/>
    </row>
    <row r="9" spans="1:31" ht="145" x14ac:dyDescent="0.35">
      <c r="B9" s="60"/>
      <c r="C9" s="63" t="s">
        <v>446</v>
      </c>
      <c r="D9" s="16" t="s">
        <v>2</v>
      </c>
      <c r="E9" s="17" t="s">
        <v>30</v>
      </c>
      <c r="F9" s="18" t="s">
        <v>31</v>
      </c>
      <c r="G9" s="19" t="s">
        <v>32</v>
      </c>
      <c r="H9" s="19" t="s">
        <v>5</v>
      </c>
      <c r="I9" s="51"/>
      <c r="J9" s="19" t="s">
        <v>578</v>
      </c>
      <c r="K9" s="19" t="s">
        <v>577</v>
      </c>
      <c r="L9" s="19" t="s">
        <v>579</v>
      </c>
      <c r="M9" s="19" t="s">
        <v>580</v>
      </c>
      <c r="N9" s="10" t="s">
        <v>338</v>
      </c>
      <c r="O9" s="10" t="s">
        <v>972</v>
      </c>
      <c r="P9" s="10" t="s">
        <v>973</v>
      </c>
      <c r="Q9" s="10" t="s">
        <v>338</v>
      </c>
      <c r="R9" s="11" t="s">
        <v>33</v>
      </c>
      <c r="S9" s="11" t="s">
        <v>33</v>
      </c>
      <c r="T9" s="11"/>
      <c r="U9" s="81"/>
      <c r="V9" s="60"/>
      <c r="W9" s="89" t="s">
        <v>1410</v>
      </c>
      <c r="X9" s="60"/>
      <c r="Y9" s="60"/>
      <c r="Z9" s="60"/>
      <c r="AB9" s="60"/>
    </row>
    <row r="10" spans="1:31" ht="69" x14ac:dyDescent="0.35">
      <c r="B10" s="60"/>
      <c r="C10" s="63" t="s">
        <v>34</v>
      </c>
      <c r="D10" s="20" t="s">
        <v>3</v>
      </c>
      <c r="E10" s="21" t="s">
        <v>333</v>
      </c>
      <c r="F10" s="22" t="s">
        <v>343</v>
      </c>
      <c r="G10" s="23" t="s">
        <v>345</v>
      </c>
      <c r="H10" s="23" t="s">
        <v>5</v>
      </c>
      <c r="I10" s="52" t="s">
        <v>363</v>
      </c>
      <c r="J10" s="23" t="s">
        <v>582</v>
      </c>
      <c r="K10" s="23" t="s">
        <v>581</v>
      </c>
      <c r="L10" s="23" t="s">
        <v>583</v>
      </c>
      <c r="M10" s="23" t="s">
        <v>584</v>
      </c>
      <c r="N10" s="10" t="s">
        <v>338</v>
      </c>
      <c r="O10" s="10" t="s">
        <v>972</v>
      </c>
      <c r="P10" s="10" t="s">
        <v>973</v>
      </c>
      <c r="Q10" s="10" t="s">
        <v>338</v>
      </c>
      <c r="R10" s="11" t="s">
        <v>33</v>
      </c>
      <c r="S10" s="11" t="s">
        <v>33</v>
      </c>
      <c r="T10" s="11"/>
      <c r="U10" s="82"/>
      <c r="V10" s="60"/>
      <c r="W10" s="60"/>
      <c r="X10" s="60"/>
      <c r="Y10" s="60"/>
      <c r="Z10" s="60"/>
      <c r="AB10" s="60"/>
    </row>
    <row r="11" spans="1:31" ht="69" x14ac:dyDescent="0.35">
      <c r="B11" s="60"/>
      <c r="C11" s="63" t="s">
        <v>34</v>
      </c>
      <c r="D11" s="20" t="s">
        <v>3</v>
      </c>
      <c r="E11" s="21" t="s">
        <v>334</v>
      </c>
      <c r="F11" s="22" t="s">
        <v>335</v>
      </c>
      <c r="G11" s="23" t="s">
        <v>336</v>
      </c>
      <c r="H11" s="23" t="s">
        <v>5</v>
      </c>
      <c r="I11" s="52" t="s">
        <v>363</v>
      </c>
      <c r="J11" s="23"/>
      <c r="K11" s="23"/>
      <c r="L11" s="23"/>
      <c r="M11" s="23"/>
      <c r="N11" s="10" t="s">
        <v>338</v>
      </c>
      <c r="O11" s="10" t="s">
        <v>972</v>
      </c>
      <c r="P11" s="10" t="s">
        <v>973</v>
      </c>
      <c r="Q11" s="10" t="s">
        <v>338</v>
      </c>
      <c r="R11" s="11" t="s">
        <v>33</v>
      </c>
      <c r="S11" s="11" t="s">
        <v>33</v>
      </c>
      <c r="T11" s="11"/>
      <c r="U11" s="82"/>
      <c r="V11" s="60"/>
      <c r="W11" s="60"/>
      <c r="X11" s="60"/>
      <c r="Y11" s="60"/>
      <c r="Z11" s="60"/>
      <c r="AB11" s="60"/>
    </row>
    <row r="12" spans="1:31" ht="46" x14ac:dyDescent="0.35">
      <c r="A12" s="123" t="s">
        <v>1720</v>
      </c>
      <c r="B12" s="60"/>
      <c r="C12" s="63" t="s">
        <v>1719</v>
      </c>
      <c r="D12" s="20" t="s">
        <v>3</v>
      </c>
      <c r="E12" s="21" t="s">
        <v>337</v>
      </c>
      <c r="F12" s="22" t="s">
        <v>1722</v>
      </c>
      <c r="G12" s="23" t="s">
        <v>1723</v>
      </c>
      <c r="H12" s="23" t="s">
        <v>5</v>
      </c>
      <c r="I12" s="52" t="s">
        <v>363</v>
      </c>
      <c r="J12" s="23"/>
      <c r="K12" s="23"/>
      <c r="L12" s="23"/>
      <c r="M12" s="23"/>
      <c r="N12" s="10"/>
      <c r="O12" s="10"/>
      <c r="P12" s="10"/>
      <c r="Q12" s="10"/>
      <c r="R12" s="11" t="s">
        <v>1651</v>
      </c>
      <c r="S12" s="11" t="s">
        <v>33</v>
      </c>
      <c r="T12" s="11" t="s">
        <v>534</v>
      </c>
      <c r="U12" s="82"/>
      <c r="V12" s="60"/>
      <c r="W12" s="60"/>
      <c r="X12" s="60"/>
      <c r="Y12" s="60"/>
      <c r="Z12" s="60"/>
      <c r="AB12" s="60"/>
    </row>
    <row r="13" spans="1:31" ht="46" x14ac:dyDescent="0.35">
      <c r="B13" s="60"/>
      <c r="C13" s="63" t="s">
        <v>34</v>
      </c>
      <c r="D13" s="20" t="s">
        <v>3</v>
      </c>
      <c r="E13" s="21" t="s">
        <v>341</v>
      </c>
      <c r="F13" s="47" t="s">
        <v>344</v>
      </c>
      <c r="G13" s="23" t="s">
        <v>517</v>
      </c>
      <c r="H13" s="23" t="s">
        <v>5</v>
      </c>
      <c r="I13" s="52" t="s">
        <v>363</v>
      </c>
      <c r="J13" s="23"/>
      <c r="K13" s="23"/>
      <c r="L13" s="23"/>
      <c r="M13" s="23"/>
      <c r="N13" s="10" t="s">
        <v>338</v>
      </c>
      <c r="O13" s="10" t="s">
        <v>972</v>
      </c>
      <c r="P13" s="10" t="s">
        <v>973</v>
      </c>
      <c r="Q13" s="10" t="s">
        <v>338</v>
      </c>
      <c r="R13" s="11" t="s">
        <v>33</v>
      </c>
      <c r="S13" s="11" t="s">
        <v>33</v>
      </c>
      <c r="T13" s="11"/>
      <c r="U13" s="82"/>
      <c r="V13" s="60"/>
      <c r="W13" s="60"/>
      <c r="X13" s="60"/>
      <c r="Y13" s="60"/>
      <c r="Z13" s="60"/>
      <c r="AB13" s="60"/>
    </row>
    <row r="14" spans="1:31" ht="80.5" x14ac:dyDescent="0.35">
      <c r="A14" s="124" t="s">
        <v>1724</v>
      </c>
      <c r="B14" s="60"/>
      <c r="C14" s="63" t="s">
        <v>429</v>
      </c>
      <c r="D14" s="20" t="s">
        <v>3</v>
      </c>
      <c r="E14" s="21" t="s">
        <v>346</v>
      </c>
      <c r="F14" s="22" t="s">
        <v>349</v>
      </c>
      <c r="G14" s="23" t="s">
        <v>1676</v>
      </c>
      <c r="H14" s="109" t="str">
        <f>"Decision 
If yes, proceed to step "&amp;E38&amp;" 
If no, proceed to "&amp;E15&amp;""</f>
        <v>Decision 
If yes, proceed to step 1.1.5 
If no, proceed to 1.1.1.6</v>
      </c>
      <c r="I14" s="52" t="s">
        <v>359</v>
      </c>
      <c r="J14" s="23" t="s">
        <v>586</v>
      </c>
      <c r="K14" s="23" t="s">
        <v>585</v>
      </c>
      <c r="L14" s="23" t="s">
        <v>587</v>
      </c>
      <c r="M14" s="23" t="s">
        <v>588</v>
      </c>
      <c r="N14" s="10" t="s">
        <v>338</v>
      </c>
      <c r="O14" s="10" t="s">
        <v>972</v>
      </c>
      <c r="P14" s="10" t="s">
        <v>973</v>
      </c>
      <c r="Q14" s="10" t="s">
        <v>338</v>
      </c>
      <c r="R14" s="11" t="s">
        <v>364</v>
      </c>
      <c r="S14" s="11" t="s">
        <v>33</v>
      </c>
      <c r="T14" s="11"/>
      <c r="U14" s="82"/>
      <c r="V14" s="60"/>
      <c r="W14" s="60"/>
      <c r="X14" s="60"/>
      <c r="Y14" s="60"/>
      <c r="Z14" s="60"/>
      <c r="AB14" s="60"/>
    </row>
    <row r="15" spans="1:31" ht="80.5" x14ac:dyDescent="0.35">
      <c r="B15" s="60"/>
      <c r="C15" s="63" t="s">
        <v>430</v>
      </c>
      <c r="D15" s="20" t="s">
        <v>3</v>
      </c>
      <c r="E15" s="21" t="s">
        <v>1721</v>
      </c>
      <c r="F15" s="22" t="s">
        <v>339</v>
      </c>
      <c r="G15" s="23" t="s">
        <v>347</v>
      </c>
      <c r="H15" s="23" t="s">
        <v>5</v>
      </c>
      <c r="I15" s="52" t="s">
        <v>359</v>
      </c>
      <c r="J15" s="23" t="s">
        <v>590</v>
      </c>
      <c r="K15" s="23" t="s">
        <v>589</v>
      </c>
      <c r="L15" s="23" t="s">
        <v>591</v>
      </c>
      <c r="M15" s="23" t="s">
        <v>389</v>
      </c>
      <c r="N15" s="10" t="s">
        <v>29</v>
      </c>
      <c r="O15" s="10" t="s">
        <v>974</v>
      </c>
      <c r="P15" s="10" t="s">
        <v>94</v>
      </c>
      <c r="Q15" s="10" t="s">
        <v>975</v>
      </c>
      <c r="R15" s="11" t="s">
        <v>364</v>
      </c>
      <c r="S15" s="11" t="s">
        <v>33</v>
      </c>
      <c r="T15" s="11"/>
      <c r="U15" s="82"/>
      <c r="V15" s="60"/>
      <c r="W15" s="60"/>
      <c r="X15" s="60"/>
      <c r="Y15" s="60"/>
      <c r="Z15" s="60"/>
      <c r="AB15" s="60"/>
    </row>
    <row r="16" spans="1:31" ht="80.5" x14ac:dyDescent="0.35">
      <c r="B16" s="60"/>
      <c r="C16" s="63" t="s">
        <v>446</v>
      </c>
      <c r="D16" s="16" t="s">
        <v>2</v>
      </c>
      <c r="E16" s="17" t="s">
        <v>36</v>
      </c>
      <c r="F16" s="18" t="s">
        <v>37</v>
      </c>
      <c r="G16" s="19" t="s">
        <v>340</v>
      </c>
      <c r="H16" s="19" t="s">
        <v>5</v>
      </c>
      <c r="I16" s="51"/>
      <c r="J16" s="19" t="s">
        <v>593</v>
      </c>
      <c r="K16" s="19" t="s">
        <v>592</v>
      </c>
      <c r="L16" s="19" t="s">
        <v>594</v>
      </c>
      <c r="M16" s="19" t="s">
        <v>390</v>
      </c>
      <c r="N16" s="10" t="s">
        <v>976</v>
      </c>
      <c r="O16" s="10" t="s">
        <v>137</v>
      </c>
      <c r="P16" s="10" t="s">
        <v>94</v>
      </c>
      <c r="Q16" s="10" t="s">
        <v>977</v>
      </c>
      <c r="R16" s="33" t="s">
        <v>38</v>
      </c>
      <c r="S16" s="33" t="s">
        <v>38</v>
      </c>
      <c r="T16" s="11"/>
      <c r="U16" s="82"/>
      <c r="V16" s="60"/>
      <c r="W16" s="60"/>
      <c r="X16" s="60"/>
      <c r="Y16" s="60"/>
      <c r="Z16" s="60"/>
      <c r="AB16" s="60"/>
      <c r="AD16" s="122" t="s">
        <v>1678</v>
      </c>
    </row>
    <row r="17" spans="1:30" ht="69" x14ac:dyDescent="0.35">
      <c r="B17" s="60"/>
      <c r="C17" s="63" t="s">
        <v>432</v>
      </c>
      <c r="D17" s="20" t="s">
        <v>3</v>
      </c>
      <c r="E17" s="21" t="s">
        <v>327</v>
      </c>
      <c r="F17" s="22" t="s">
        <v>1725</v>
      </c>
      <c r="G17" s="23" t="s">
        <v>360</v>
      </c>
      <c r="H17" s="23" t="s">
        <v>5</v>
      </c>
      <c r="I17" s="52" t="s">
        <v>361</v>
      </c>
      <c r="J17" s="23" t="s">
        <v>596</v>
      </c>
      <c r="K17" s="23" t="s">
        <v>595</v>
      </c>
      <c r="L17" s="23" t="s">
        <v>597</v>
      </c>
      <c r="M17" s="23" t="s">
        <v>391</v>
      </c>
      <c r="N17" s="10" t="s">
        <v>976</v>
      </c>
      <c r="O17" s="10" t="s">
        <v>137</v>
      </c>
      <c r="P17" s="10" t="s">
        <v>94</v>
      </c>
      <c r="Q17" s="10" t="s">
        <v>977</v>
      </c>
      <c r="R17" s="33" t="s">
        <v>38</v>
      </c>
      <c r="S17" s="33" t="s">
        <v>38</v>
      </c>
      <c r="T17" s="11"/>
      <c r="U17" s="82"/>
      <c r="V17" s="60"/>
      <c r="W17" s="60"/>
      <c r="X17" s="60"/>
      <c r="Y17" s="60"/>
      <c r="Z17" s="60"/>
      <c r="AB17" s="60"/>
    </row>
    <row r="18" spans="1:30" ht="46" x14ac:dyDescent="0.35">
      <c r="B18" s="60"/>
      <c r="C18" s="63" t="s">
        <v>43</v>
      </c>
      <c r="D18" s="20" t="s">
        <v>3</v>
      </c>
      <c r="E18" s="21" t="s">
        <v>328</v>
      </c>
      <c r="F18" s="22" t="s">
        <v>348</v>
      </c>
      <c r="G18" s="23" t="s">
        <v>350</v>
      </c>
      <c r="H18" s="23" t="str">
        <f>"Decision 
If yes, proceed to step "&amp;E19&amp;" 
If no, proceed to "&amp;E24&amp;""</f>
        <v>Decision 
If yes, proceed to step 1.1.2.3 
If no, proceed to 1.1.3</v>
      </c>
      <c r="I18" s="52" t="s">
        <v>363</v>
      </c>
      <c r="J18" s="23"/>
      <c r="K18" s="23"/>
      <c r="L18" s="23"/>
      <c r="M18" s="23"/>
      <c r="N18" s="10" t="s">
        <v>976</v>
      </c>
      <c r="O18" s="10" t="s">
        <v>137</v>
      </c>
      <c r="P18" s="10" t="s">
        <v>94</v>
      </c>
      <c r="Q18" s="10" t="s">
        <v>977</v>
      </c>
      <c r="R18" s="33" t="s">
        <v>38</v>
      </c>
      <c r="S18" s="33" t="s">
        <v>38</v>
      </c>
      <c r="T18" s="11"/>
      <c r="U18" s="82"/>
      <c r="V18" s="60"/>
      <c r="W18" s="60"/>
      <c r="X18" s="60"/>
      <c r="Y18" s="60"/>
      <c r="Z18" s="60"/>
      <c r="AB18" s="60"/>
    </row>
    <row r="19" spans="1:30" ht="34.5" x14ac:dyDescent="0.35">
      <c r="B19" s="60"/>
      <c r="C19" s="63" t="s">
        <v>431</v>
      </c>
      <c r="D19" s="20" t="s">
        <v>3</v>
      </c>
      <c r="E19" s="21" t="s">
        <v>329</v>
      </c>
      <c r="F19" s="22" t="s">
        <v>352</v>
      </c>
      <c r="G19" s="23" t="s">
        <v>365</v>
      </c>
      <c r="H19" s="23" t="s">
        <v>5</v>
      </c>
      <c r="I19" s="52" t="s">
        <v>361</v>
      </c>
      <c r="J19" s="23"/>
      <c r="K19" s="23"/>
      <c r="L19" s="23"/>
      <c r="M19" s="23"/>
      <c r="N19" s="10" t="s">
        <v>976</v>
      </c>
      <c r="O19" s="10" t="s">
        <v>137</v>
      </c>
      <c r="P19" s="10" t="s">
        <v>94</v>
      </c>
      <c r="Q19" s="10" t="s">
        <v>977</v>
      </c>
      <c r="R19" s="33" t="s">
        <v>38</v>
      </c>
      <c r="S19" s="33" t="s">
        <v>38</v>
      </c>
      <c r="T19" s="11"/>
      <c r="U19" s="82"/>
      <c r="V19" s="60"/>
      <c r="W19" s="60"/>
      <c r="X19" s="60"/>
      <c r="Y19" s="60"/>
      <c r="Z19" s="60"/>
      <c r="AB19" s="60"/>
    </row>
    <row r="20" spans="1:30" ht="57.5" x14ac:dyDescent="0.35">
      <c r="B20" s="60"/>
      <c r="C20" s="63" t="s">
        <v>433</v>
      </c>
      <c r="D20" s="20" t="s">
        <v>3</v>
      </c>
      <c r="E20" s="21" t="s">
        <v>330</v>
      </c>
      <c r="F20" s="22" t="s">
        <v>353</v>
      </c>
      <c r="G20" s="23" t="s">
        <v>354</v>
      </c>
      <c r="H20" s="23" t="s">
        <v>5</v>
      </c>
      <c r="I20" s="52" t="s">
        <v>361</v>
      </c>
      <c r="J20" s="23"/>
      <c r="K20" s="23"/>
      <c r="L20" s="23"/>
      <c r="M20" s="23"/>
      <c r="N20" s="10" t="s">
        <v>338</v>
      </c>
      <c r="O20" s="10" t="s">
        <v>338</v>
      </c>
      <c r="P20" s="10" t="s">
        <v>338</v>
      </c>
      <c r="Q20" s="10" t="s">
        <v>338</v>
      </c>
      <c r="R20" s="11" t="s">
        <v>33</v>
      </c>
      <c r="S20" s="11" t="s">
        <v>33</v>
      </c>
      <c r="T20" s="11"/>
      <c r="U20" s="82"/>
      <c r="V20" s="60"/>
      <c r="W20" s="60"/>
      <c r="X20" s="60"/>
      <c r="Y20" s="60"/>
      <c r="Z20" s="60"/>
      <c r="AB20" s="60"/>
    </row>
    <row r="21" spans="1:30" ht="23" x14ac:dyDescent="0.35">
      <c r="B21" s="60"/>
      <c r="C21" s="63" t="s">
        <v>43</v>
      </c>
      <c r="D21" s="20" t="s">
        <v>3</v>
      </c>
      <c r="E21" s="21" t="s">
        <v>331</v>
      </c>
      <c r="F21" s="22" t="s">
        <v>355</v>
      </c>
      <c r="G21" s="23" t="s">
        <v>368</v>
      </c>
      <c r="H21" s="23" t="s">
        <v>5</v>
      </c>
      <c r="I21" s="52" t="s">
        <v>359</v>
      </c>
      <c r="J21" s="23"/>
      <c r="K21" s="23"/>
      <c r="L21" s="23"/>
      <c r="M21" s="23"/>
      <c r="N21" s="10" t="s">
        <v>976</v>
      </c>
      <c r="O21" s="10" t="s">
        <v>79</v>
      </c>
      <c r="P21" s="10" t="s">
        <v>94</v>
      </c>
      <c r="Q21" s="10" t="s">
        <v>977</v>
      </c>
      <c r="R21" s="11" t="s">
        <v>364</v>
      </c>
      <c r="S21" s="33" t="s">
        <v>38</v>
      </c>
      <c r="T21" s="11"/>
      <c r="U21" s="82"/>
      <c r="V21" s="60"/>
      <c r="W21" s="60"/>
      <c r="X21" s="60"/>
      <c r="Y21" s="60"/>
      <c r="Z21" s="60"/>
      <c r="AB21" s="60"/>
    </row>
    <row r="22" spans="1:30" ht="57.5" x14ac:dyDescent="0.35">
      <c r="B22" s="60"/>
      <c r="C22" s="63" t="s">
        <v>434</v>
      </c>
      <c r="D22" s="20" t="s">
        <v>3</v>
      </c>
      <c r="E22" s="21" t="s">
        <v>351</v>
      </c>
      <c r="F22" s="22" t="s">
        <v>367</v>
      </c>
      <c r="G22" s="23" t="s">
        <v>366</v>
      </c>
      <c r="H22" s="23" t="s">
        <v>5</v>
      </c>
      <c r="I22" s="52" t="s">
        <v>359</v>
      </c>
      <c r="J22" s="23"/>
      <c r="K22" s="23"/>
      <c r="L22" s="23"/>
      <c r="M22" s="23"/>
      <c r="N22" s="10" t="s">
        <v>976</v>
      </c>
      <c r="O22" s="10" t="s">
        <v>79</v>
      </c>
      <c r="P22" s="10" t="s">
        <v>94</v>
      </c>
      <c r="Q22" s="10" t="s">
        <v>977</v>
      </c>
      <c r="R22" s="11" t="s">
        <v>364</v>
      </c>
      <c r="S22" s="33" t="s">
        <v>38</v>
      </c>
      <c r="T22" s="11"/>
      <c r="U22" s="82"/>
      <c r="V22" s="60"/>
      <c r="W22" s="60"/>
      <c r="X22" s="60"/>
      <c r="Y22" s="60"/>
      <c r="Z22" s="60"/>
      <c r="AB22" s="60"/>
    </row>
    <row r="23" spans="1:30" ht="34.5" x14ac:dyDescent="0.35">
      <c r="B23" s="60"/>
      <c r="C23" s="63" t="s">
        <v>34</v>
      </c>
      <c r="D23" s="20" t="s">
        <v>3</v>
      </c>
      <c r="E23" s="21" t="s">
        <v>356</v>
      </c>
      <c r="F23" s="22" t="s">
        <v>357</v>
      </c>
      <c r="G23" s="23" t="s">
        <v>435</v>
      </c>
      <c r="H23" s="23" t="s">
        <v>5</v>
      </c>
      <c r="I23" s="52" t="s">
        <v>359</v>
      </c>
      <c r="J23" s="23"/>
      <c r="K23" s="23"/>
      <c r="L23" s="23"/>
      <c r="M23" s="23"/>
      <c r="N23" s="10" t="s">
        <v>976</v>
      </c>
      <c r="O23" s="10" t="s">
        <v>79</v>
      </c>
      <c r="P23" s="10" t="s">
        <v>94</v>
      </c>
      <c r="Q23" s="10" t="s">
        <v>977</v>
      </c>
      <c r="R23" s="11" t="s">
        <v>364</v>
      </c>
      <c r="S23" s="11" t="s">
        <v>33</v>
      </c>
      <c r="T23" s="11"/>
      <c r="U23" s="83"/>
      <c r="V23" s="60"/>
      <c r="W23" s="60"/>
      <c r="X23" s="60"/>
      <c r="Y23" s="60"/>
      <c r="Z23" s="60"/>
      <c r="AB23" s="60"/>
    </row>
    <row r="24" spans="1:30" ht="58" x14ac:dyDescent="0.35">
      <c r="B24" s="60"/>
      <c r="C24" s="63" t="s">
        <v>436</v>
      </c>
      <c r="D24" s="16" t="s">
        <v>2</v>
      </c>
      <c r="E24" s="17" t="s">
        <v>39</v>
      </c>
      <c r="F24" s="18" t="s">
        <v>40</v>
      </c>
      <c r="G24" s="19" t="s">
        <v>41</v>
      </c>
      <c r="H24" s="19" t="s">
        <v>5</v>
      </c>
      <c r="I24" s="51"/>
      <c r="J24" s="19" t="s">
        <v>599</v>
      </c>
      <c r="K24" s="19" t="s">
        <v>598</v>
      </c>
      <c r="L24" s="19" t="s">
        <v>600</v>
      </c>
      <c r="M24" s="19" t="s">
        <v>601</v>
      </c>
      <c r="N24" s="10"/>
      <c r="O24" s="10"/>
      <c r="P24" s="10"/>
      <c r="Q24" s="10"/>
      <c r="R24" s="11" t="s">
        <v>42</v>
      </c>
      <c r="S24" s="11" t="s">
        <v>42</v>
      </c>
      <c r="T24" s="33" t="s">
        <v>33</v>
      </c>
      <c r="U24" s="82"/>
      <c r="V24" s="103" t="s">
        <v>1668</v>
      </c>
      <c r="W24" s="60"/>
      <c r="X24" s="60"/>
      <c r="Y24" s="60"/>
      <c r="Z24" s="60"/>
      <c r="AB24" s="60"/>
      <c r="AD24" s="122" t="s">
        <v>1679</v>
      </c>
    </row>
    <row r="25" spans="1:30" ht="34.5" x14ac:dyDescent="0.35">
      <c r="B25" s="60"/>
      <c r="C25" s="63" t="s">
        <v>383</v>
      </c>
      <c r="D25" s="20" t="s">
        <v>3</v>
      </c>
      <c r="E25" s="21" t="s">
        <v>369</v>
      </c>
      <c r="F25" s="22" t="s">
        <v>370</v>
      </c>
      <c r="G25" s="23" t="s">
        <v>371</v>
      </c>
      <c r="H25" s="23" t="s">
        <v>5</v>
      </c>
      <c r="I25" s="52" t="s">
        <v>363</v>
      </c>
      <c r="J25" s="23"/>
      <c r="K25" s="23"/>
      <c r="L25" s="23"/>
      <c r="M25" s="23"/>
      <c r="N25" s="10"/>
      <c r="O25" s="10"/>
      <c r="P25" s="10"/>
      <c r="Q25" s="10"/>
      <c r="R25" s="11" t="s">
        <v>42</v>
      </c>
      <c r="S25" s="11" t="s">
        <v>42</v>
      </c>
      <c r="T25" s="11"/>
      <c r="U25" s="82"/>
      <c r="V25" s="103" t="s">
        <v>1055</v>
      </c>
      <c r="W25" s="60"/>
      <c r="X25" s="60"/>
      <c r="Y25" s="60"/>
      <c r="Z25" s="60"/>
      <c r="AB25" s="60"/>
    </row>
    <row r="26" spans="1:30" ht="46" x14ac:dyDescent="0.35">
      <c r="B26" s="60"/>
      <c r="C26" s="63" t="s">
        <v>383</v>
      </c>
      <c r="D26" s="20" t="s">
        <v>3</v>
      </c>
      <c r="E26" s="21" t="s">
        <v>372</v>
      </c>
      <c r="F26" s="22" t="s">
        <v>373</v>
      </c>
      <c r="G26" s="23" t="s">
        <v>374</v>
      </c>
      <c r="H26" s="23" t="s">
        <v>5</v>
      </c>
      <c r="I26" s="52" t="s">
        <v>363</v>
      </c>
      <c r="J26" s="23"/>
      <c r="K26" s="23"/>
      <c r="L26" s="23"/>
      <c r="M26" s="23"/>
      <c r="N26" s="10"/>
      <c r="O26" s="10"/>
      <c r="P26" s="10"/>
      <c r="Q26" s="10"/>
      <c r="R26" s="11" t="s">
        <v>42</v>
      </c>
      <c r="S26" s="11" t="s">
        <v>42</v>
      </c>
      <c r="T26" s="11"/>
      <c r="U26" s="81"/>
      <c r="V26" s="103" t="s">
        <v>1055</v>
      </c>
      <c r="W26" s="60"/>
      <c r="X26" s="60"/>
      <c r="Y26" s="60"/>
      <c r="Z26" s="60"/>
      <c r="AB26" s="60"/>
    </row>
    <row r="27" spans="1:30" ht="34.5" x14ac:dyDescent="0.35">
      <c r="B27" s="60"/>
      <c r="C27" s="63" t="s">
        <v>384</v>
      </c>
      <c r="D27" s="20" t="s">
        <v>3</v>
      </c>
      <c r="E27" s="21" t="s">
        <v>376</v>
      </c>
      <c r="F27" s="22" t="s">
        <v>379</v>
      </c>
      <c r="G27" s="23" t="s">
        <v>375</v>
      </c>
      <c r="H27" s="23" t="s">
        <v>5</v>
      </c>
      <c r="I27" s="52" t="s">
        <v>363</v>
      </c>
      <c r="J27" s="23"/>
      <c r="K27" s="23"/>
      <c r="L27" s="23"/>
      <c r="M27" s="23"/>
      <c r="N27" s="10"/>
      <c r="O27" s="10"/>
      <c r="P27" s="10"/>
      <c r="Q27" s="10"/>
      <c r="R27" s="11" t="s">
        <v>42</v>
      </c>
      <c r="S27" s="11" t="s">
        <v>42</v>
      </c>
      <c r="T27" s="11"/>
      <c r="U27" s="81"/>
      <c r="V27" s="103" t="s">
        <v>1055</v>
      </c>
      <c r="W27" s="60"/>
      <c r="X27" s="60"/>
      <c r="Y27" s="60"/>
      <c r="Z27" s="60"/>
      <c r="AB27" s="60"/>
    </row>
    <row r="28" spans="1:30" ht="34.5" x14ac:dyDescent="0.35">
      <c r="B28" s="60"/>
      <c r="C28" s="63" t="s">
        <v>384</v>
      </c>
      <c r="D28" s="20" t="s">
        <v>3</v>
      </c>
      <c r="E28" s="21" t="s">
        <v>377</v>
      </c>
      <c r="F28" s="22" t="s">
        <v>380</v>
      </c>
      <c r="G28" s="23" t="s">
        <v>382</v>
      </c>
      <c r="H28" s="23" t="s">
        <v>5</v>
      </c>
      <c r="I28" s="52" t="s">
        <v>363</v>
      </c>
      <c r="J28" s="23"/>
      <c r="K28" s="23"/>
      <c r="L28" s="23"/>
      <c r="M28" s="23"/>
      <c r="N28" s="10"/>
      <c r="O28" s="10"/>
      <c r="P28" s="10"/>
      <c r="Q28" s="10"/>
      <c r="R28" s="11" t="s">
        <v>42</v>
      </c>
      <c r="S28" s="11" t="s">
        <v>42</v>
      </c>
      <c r="T28" s="11"/>
      <c r="U28" s="81"/>
      <c r="V28" s="103" t="s">
        <v>1055</v>
      </c>
      <c r="W28" s="60"/>
      <c r="X28" s="60"/>
      <c r="Y28" s="60"/>
      <c r="Z28" s="60"/>
      <c r="AB28" s="60"/>
    </row>
    <row r="29" spans="1:30" ht="46" x14ac:dyDescent="0.35">
      <c r="B29" s="60"/>
      <c r="C29" s="63" t="s">
        <v>43</v>
      </c>
      <c r="D29" s="20" t="s">
        <v>3</v>
      </c>
      <c r="E29" s="21" t="s">
        <v>378</v>
      </c>
      <c r="F29" s="22" t="s">
        <v>381</v>
      </c>
      <c r="G29" s="23" t="s">
        <v>385</v>
      </c>
      <c r="H29" s="23" t="s">
        <v>5</v>
      </c>
      <c r="I29" s="52" t="s">
        <v>359</v>
      </c>
      <c r="J29" s="23"/>
      <c r="K29" s="23"/>
      <c r="L29" s="23"/>
      <c r="M29" s="23"/>
      <c r="N29" s="10"/>
      <c r="O29" s="10"/>
      <c r="P29" s="10"/>
      <c r="Q29" s="10"/>
      <c r="R29" s="11" t="s">
        <v>364</v>
      </c>
      <c r="S29" s="11" t="s">
        <v>42</v>
      </c>
      <c r="T29" s="11"/>
      <c r="U29" s="82"/>
      <c r="V29" s="103" t="s">
        <v>1055</v>
      </c>
      <c r="W29" s="60"/>
      <c r="X29" s="60"/>
      <c r="Y29" s="60"/>
      <c r="Z29" s="60"/>
      <c r="AB29" s="60"/>
    </row>
    <row r="30" spans="1:30" ht="23" x14ac:dyDescent="0.35">
      <c r="B30" s="60"/>
      <c r="C30" s="63" t="s">
        <v>384</v>
      </c>
      <c r="D30" s="20" t="s">
        <v>3</v>
      </c>
      <c r="E30" s="21" t="s">
        <v>386</v>
      </c>
      <c r="F30" s="22" t="s">
        <v>388</v>
      </c>
      <c r="G30" s="23" t="s">
        <v>387</v>
      </c>
      <c r="H30" s="23" t="s">
        <v>5</v>
      </c>
      <c r="I30" s="52" t="s">
        <v>359</v>
      </c>
      <c r="J30" s="23"/>
      <c r="K30" s="23"/>
      <c r="L30" s="23"/>
      <c r="M30" s="23"/>
      <c r="N30" s="10"/>
      <c r="O30" s="10"/>
      <c r="P30" s="10"/>
      <c r="Q30" s="10"/>
      <c r="R30" s="11" t="s">
        <v>364</v>
      </c>
      <c r="S30" s="11" t="s">
        <v>42</v>
      </c>
      <c r="T30" s="11"/>
      <c r="U30" s="83"/>
      <c r="V30" s="103" t="s">
        <v>1055</v>
      </c>
      <c r="W30" s="60"/>
      <c r="X30" s="60"/>
      <c r="Y30" s="60"/>
      <c r="Z30" s="60"/>
      <c r="AB30" s="60"/>
    </row>
    <row r="31" spans="1:30" ht="57.5" x14ac:dyDescent="0.35">
      <c r="A31" s="123" t="s">
        <v>1811</v>
      </c>
      <c r="B31" s="60"/>
      <c r="C31" s="63" t="s">
        <v>1774</v>
      </c>
      <c r="D31" s="16" t="s">
        <v>2</v>
      </c>
      <c r="E31" s="17" t="s">
        <v>44</v>
      </c>
      <c r="F31" s="18" t="s">
        <v>1784</v>
      </c>
      <c r="G31" s="56" t="s">
        <v>1785</v>
      </c>
      <c r="H31" s="19"/>
      <c r="I31" s="51"/>
      <c r="J31" s="56"/>
      <c r="K31" s="56"/>
      <c r="L31" s="56"/>
      <c r="M31" s="56"/>
      <c r="N31" s="10"/>
      <c r="O31" s="10"/>
      <c r="P31" s="10"/>
      <c r="Q31" s="10"/>
      <c r="R31" s="11"/>
      <c r="S31" s="11"/>
      <c r="T31" s="11"/>
      <c r="U31" s="82"/>
      <c r="V31" s="60"/>
      <c r="W31" s="92"/>
      <c r="X31" s="60"/>
      <c r="Y31" s="60"/>
      <c r="Z31" s="60"/>
      <c r="AB31" s="60"/>
    </row>
    <row r="32" spans="1:30" ht="46" x14ac:dyDescent="0.35">
      <c r="A32" s="123" t="s">
        <v>1811</v>
      </c>
      <c r="B32" s="60"/>
      <c r="C32" s="63" t="s">
        <v>1774</v>
      </c>
      <c r="D32" s="20" t="s">
        <v>3</v>
      </c>
      <c r="E32" s="21" t="s">
        <v>49</v>
      </c>
      <c r="F32" s="22" t="s">
        <v>1781</v>
      </c>
      <c r="G32" s="23" t="s">
        <v>1782</v>
      </c>
      <c r="H32" s="23" t="str">
        <f>"Decision 
If yes, proceed to step "&amp;E33&amp;" 
If no, proceed to "&amp;E38&amp;""</f>
        <v>Decision 
If yes, proceed to step 1.1.4.2 
If no, proceed to 1.1.5</v>
      </c>
      <c r="I32" s="52" t="s">
        <v>363</v>
      </c>
      <c r="J32" s="23"/>
      <c r="K32" s="23"/>
      <c r="L32" s="23"/>
      <c r="M32" s="23"/>
      <c r="N32" s="10"/>
      <c r="O32" s="10"/>
      <c r="P32" s="10"/>
      <c r="Q32" s="10"/>
      <c r="R32" s="11" t="s">
        <v>1651</v>
      </c>
      <c r="S32" s="11" t="s">
        <v>1653</v>
      </c>
      <c r="T32" s="11"/>
      <c r="U32" s="83"/>
      <c r="V32" s="103"/>
      <c r="W32" s="60"/>
      <c r="X32" s="60"/>
      <c r="Y32" s="60"/>
      <c r="Z32" s="60"/>
      <c r="AB32" s="60"/>
    </row>
    <row r="33" spans="1:30" ht="69" x14ac:dyDescent="0.35">
      <c r="A33" s="123" t="s">
        <v>1811</v>
      </c>
      <c r="B33" s="60"/>
      <c r="C33" s="63" t="s">
        <v>1774</v>
      </c>
      <c r="D33" s="20" t="s">
        <v>3</v>
      </c>
      <c r="E33" s="21" t="s">
        <v>51</v>
      </c>
      <c r="F33" s="22" t="s">
        <v>1783</v>
      </c>
      <c r="G33" s="23" t="s">
        <v>1808</v>
      </c>
      <c r="H33" s="23" t="s">
        <v>5</v>
      </c>
      <c r="I33" s="52" t="s">
        <v>363</v>
      </c>
      <c r="J33" s="23"/>
      <c r="K33" s="23"/>
      <c r="L33" s="23"/>
      <c r="M33" s="23"/>
      <c r="N33" s="10"/>
      <c r="O33" s="10"/>
      <c r="P33" s="10"/>
      <c r="Q33" s="10"/>
      <c r="R33" s="11" t="s">
        <v>1651</v>
      </c>
      <c r="S33" s="11" t="s">
        <v>1653</v>
      </c>
      <c r="T33" s="11"/>
      <c r="U33" s="83"/>
      <c r="V33" s="103"/>
      <c r="W33" s="60"/>
      <c r="X33" s="60"/>
      <c r="Y33" s="60"/>
      <c r="Z33" s="60"/>
      <c r="AB33" s="60"/>
    </row>
    <row r="34" spans="1:30" ht="29" x14ac:dyDescent="0.35">
      <c r="A34" s="123" t="s">
        <v>1811</v>
      </c>
      <c r="B34" s="60"/>
      <c r="C34" s="63" t="s">
        <v>1774</v>
      </c>
      <c r="D34" s="20" t="s">
        <v>3</v>
      </c>
      <c r="E34" s="21" t="s">
        <v>53</v>
      </c>
      <c r="F34" s="22" t="s">
        <v>1804</v>
      </c>
      <c r="G34" s="23" t="s">
        <v>1805</v>
      </c>
      <c r="H34" s="23" t="s">
        <v>5</v>
      </c>
      <c r="I34" s="52" t="s">
        <v>363</v>
      </c>
      <c r="J34" s="23"/>
      <c r="K34" s="23"/>
      <c r="L34" s="23"/>
      <c r="M34" s="23"/>
      <c r="N34" s="10"/>
      <c r="O34" s="10"/>
      <c r="P34" s="10"/>
      <c r="Q34" s="10"/>
      <c r="R34" s="11" t="s">
        <v>1651</v>
      </c>
      <c r="S34" s="11" t="s">
        <v>1653</v>
      </c>
      <c r="T34" s="11"/>
      <c r="U34" s="83"/>
      <c r="V34" s="103"/>
      <c r="W34" s="60"/>
      <c r="X34" s="60"/>
      <c r="Y34" s="60"/>
      <c r="Z34" s="60"/>
      <c r="AB34" s="60"/>
    </row>
    <row r="35" spans="1:30" ht="57.5" x14ac:dyDescent="0.35">
      <c r="A35" s="123" t="s">
        <v>1811</v>
      </c>
      <c r="B35" s="60"/>
      <c r="C35" s="63" t="s">
        <v>1774</v>
      </c>
      <c r="D35" s="20" t="s">
        <v>3</v>
      </c>
      <c r="E35" s="21" t="s">
        <v>55</v>
      </c>
      <c r="F35" s="22" t="s">
        <v>1802</v>
      </c>
      <c r="G35" s="23" t="s">
        <v>1803</v>
      </c>
      <c r="H35" s="23" t="s">
        <v>5</v>
      </c>
      <c r="I35" s="52" t="s">
        <v>363</v>
      </c>
      <c r="J35" s="23"/>
      <c r="K35" s="23"/>
      <c r="L35" s="23"/>
      <c r="M35" s="23"/>
      <c r="N35" s="10"/>
      <c r="O35" s="10"/>
      <c r="P35" s="10"/>
      <c r="Q35" s="10"/>
      <c r="R35" s="11" t="s">
        <v>1651</v>
      </c>
      <c r="S35" s="11" t="s">
        <v>1653</v>
      </c>
      <c r="T35" s="11"/>
      <c r="U35" s="83"/>
      <c r="V35" s="103"/>
      <c r="W35" s="60"/>
      <c r="X35" s="60"/>
      <c r="Y35" s="60"/>
      <c r="Z35" s="60"/>
      <c r="AB35" s="60"/>
    </row>
    <row r="36" spans="1:30" ht="34.5" x14ac:dyDescent="0.35">
      <c r="A36" s="123" t="s">
        <v>1811</v>
      </c>
      <c r="B36" s="60"/>
      <c r="C36" s="63" t="s">
        <v>1774</v>
      </c>
      <c r="D36" s="20" t="s">
        <v>3</v>
      </c>
      <c r="E36" s="21" t="s">
        <v>56</v>
      </c>
      <c r="F36" s="22" t="s">
        <v>1806</v>
      </c>
      <c r="G36" s="23" t="s">
        <v>1807</v>
      </c>
      <c r="H36" s="23" t="s">
        <v>5</v>
      </c>
      <c r="I36" s="52" t="s">
        <v>363</v>
      </c>
      <c r="J36" s="23"/>
      <c r="K36" s="23"/>
      <c r="L36" s="23"/>
      <c r="M36" s="23"/>
      <c r="N36" s="10"/>
      <c r="O36" s="10"/>
      <c r="P36" s="10"/>
      <c r="Q36" s="10"/>
      <c r="R36" s="11" t="s">
        <v>1651</v>
      </c>
      <c r="S36" s="11" t="s">
        <v>1653</v>
      </c>
      <c r="T36" s="11"/>
      <c r="U36" s="83"/>
      <c r="V36" s="103"/>
      <c r="W36" s="60"/>
      <c r="X36" s="60"/>
      <c r="Y36" s="60"/>
      <c r="Z36" s="60"/>
      <c r="AB36" s="60"/>
    </row>
    <row r="37" spans="1:30" ht="46" x14ac:dyDescent="0.35">
      <c r="A37" s="123" t="s">
        <v>1811</v>
      </c>
      <c r="B37" s="60"/>
      <c r="C37" s="63" t="s">
        <v>1774</v>
      </c>
      <c r="D37" s="20" t="s">
        <v>3</v>
      </c>
      <c r="E37" s="21" t="s">
        <v>58</v>
      </c>
      <c r="F37" s="22" t="s">
        <v>1809</v>
      </c>
      <c r="G37" s="23" t="s">
        <v>1810</v>
      </c>
      <c r="H37" s="23" t="s">
        <v>5</v>
      </c>
      <c r="I37" s="52" t="s">
        <v>363</v>
      </c>
      <c r="J37" s="23"/>
      <c r="K37" s="23"/>
      <c r="L37" s="23"/>
      <c r="M37" s="23"/>
      <c r="N37" s="10"/>
      <c r="O37" s="10"/>
      <c r="P37" s="10"/>
      <c r="Q37" s="10"/>
      <c r="R37" s="11" t="s">
        <v>1651</v>
      </c>
      <c r="S37" s="11" t="s">
        <v>1653</v>
      </c>
      <c r="T37" s="11"/>
      <c r="U37" s="83"/>
      <c r="V37" s="103"/>
      <c r="W37" s="60"/>
      <c r="X37" s="60"/>
      <c r="Y37" s="60"/>
      <c r="Z37" s="60"/>
      <c r="AB37" s="60"/>
    </row>
    <row r="38" spans="1:30" ht="69" x14ac:dyDescent="0.35">
      <c r="B38" s="60"/>
      <c r="C38" s="63" t="s">
        <v>446</v>
      </c>
      <c r="D38" s="16" t="s">
        <v>2</v>
      </c>
      <c r="E38" s="17" t="s">
        <v>1786</v>
      </c>
      <c r="F38" s="18" t="s">
        <v>45</v>
      </c>
      <c r="G38" s="56" t="s">
        <v>46</v>
      </c>
      <c r="H38" s="19" t="s">
        <v>5</v>
      </c>
      <c r="I38" s="51"/>
      <c r="J38" s="56" t="s">
        <v>1427</v>
      </c>
      <c r="K38" s="56" t="s">
        <v>1407</v>
      </c>
      <c r="L38" s="56" t="s">
        <v>602</v>
      </c>
      <c r="M38" s="56" t="s">
        <v>603</v>
      </c>
      <c r="N38" s="10" t="s">
        <v>978</v>
      </c>
      <c r="O38" s="10" t="s">
        <v>979</v>
      </c>
      <c r="P38" s="10" t="s">
        <v>980</v>
      </c>
      <c r="Q38" s="10" t="s">
        <v>338</v>
      </c>
      <c r="R38" s="11" t="s">
        <v>1653</v>
      </c>
      <c r="S38" s="11" t="s">
        <v>1653</v>
      </c>
      <c r="T38" s="11" t="s">
        <v>1743</v>
      </c>
      <c r="U38" s="82"/>
      <c r="V38" s="60"/>
      <c r="W38" s="92" t="s">
        <v>1411</v>
      </c>
      <c r="X38" s="60"/>
      <c r="Y38" s="60"/>
      <c r="Z38" s="60"/>
      <c r="AB38" s="60"/>
    </row>
    <row r="39" spans="1:30" ht="57.5" x14ac:dyDescent="0.35">
      <c r="B39" s="60"/>
      <c r="C39" s="63" t="s">
        <v>48</v>
      </c>
      <c r="D39" s="20" t="s">
        <v>3</v>
      </c>
      <c r="E39" s="21" t="s">
        <v>1787</v>
      </c>
      <c r="F39" s="22" t="s">
        <v>394</v>
      </c>
      <c r="G39" s="23" t="s">
        <v>395</v>
      </c>
      <c r="H39" s="109" t="str">
        <f>"Decision 
If yes, proceed to step "&amp;E52&amp;" 
If no, proceed to "&amp;E40&amp;""</f>
        <v>Decision 
If yes, proceed to step 1.1.5.14 
If no, proceed to 1.1.5.2</v>
      </c>
      <c r="I39" s="52" t="s">
        <v>363</v>
      </c>
      <c r="J39" s="23"/>
      <c r="K39" s="23"/>
      <c r="L39" s="23"/>
      <c r="M39" s="29"/>
      <c r="N39" s="10" t="s">
        <v>338</v>
      </c>
      <c r="O39" s="10" t="s">
        <v>979</v>
      </c>
      <c r="P39" s="10" t="s">
        <v>338</v>
      </c>
      <c r="Q39" s="10" t="s">
        <v>338</v>
      </c>
      <c r="R39" s="11" t="s">
        <v>1653</v>
      </c>
      <c r="S39" s="11" t="s">
        <v>1653</v>
      </c>
      <c r="T39" s="11"/>
      <c r="U39" s="81"/>
      <c r="V39" s="60"/>
      <c r="W39" s="60"/>
      <c r="X39" s="60"/>
      <c r="Y39" s="60"/>
      <c r="Z39" s="60"/>
      <c r="AB39" s="60"/>
    </row>
    <row r="40" spans="1:30" ht="34.5" x14ac:dyDescent="0.35">
      <c r="B40" s="60"/>
      <c r="C40" s="63" t="s">
        <v>48</v>
      </c>
      <c r="D40" s="20" t="s">
        <v>3</v>
      </c>
      <c r="E40" s="21" t="s">
        <v>1788</v>
      </c>
      <c r="F40" s="22" t="s">
        <v>50</v>
      </c>
      <c r="G40" s="23" t="s">
        <v>408</v>
      </c>
      <c r="H40" s="23" t="s">
        <v>5</v>
      </c>
      <c r="I40" s="52" t="s">
        <v>363</v>
      </c>
      <c r="J40" s="23"/>
      <c r="K40" s="23"/>
      <c r="L40" s="23"/>
      <c r="M40" s="29"/>
      <c r="N40" s="10" t="s">
        <v>978</v>
      </c>
      <c r="O40" s="10" t="s">
        <v>979</v>
      </c>
      <c r="P40" s="10" t="s">
        <v>980</v>
      </c>
      <c r="Q40" s="10" t="s">
        <v>338</v>
      </c>
      <c r="R40" s="11" t="s">
        <v>1653</v>
      </c>
      <c r="S40" s="11" t="s">
        <v>1653</v>
      </c>
      <c r="T40" s="11"/>
      <c r="U40" s="81"/>
      <c r="V40" s="60"/>
      <c r="W40" s="60"/>
      <c r="X40" s="60"/>
      <c r="Y40" s="60"/>
      <c r="Z40" s="60"/>
      <c r="AB40" s="60"/>
    </row>
    <row r="41" spans="1:30" ht="34.5" x14ac:dyDescent="0.35">
      <c r="A41" s="123" t="s">
        <v>1720</v>
      </c>
      <c r="B41" s="60"/>
      <c r="C41" s="63" t="s">
        <v>48</v>
      </c>
      <c r="D41" s="20" t="s">
        <v>3</v>
      </c>
      <c r="E41" s="21" t="s">
        <v>1789</v>
      </c>
      <c r="F41" s="22" t="s">
        <v>1726</v>
      </c>
      <c r="G41" s="23" t="s">
        <v>1727</v>
      </c>
      <c r="H41" s="23" t="s">
        <v>5</v>
      </c>
      <c r="I41" s="52" t="s">
        <v>363</v>
      </c>
      <c r="J41" s="23"/>
      <c r="K41" s="23"/>
      <c r="L41" s="23"/>
      <c r="M41" s="29"/>
      <c r="N41" s="10"/>
      <c r="O41" s="10"/>
      <c r="P41" s="10"/>
      <c r="Q41" s="10"/>
      <c r="R41" s="11" t="s">
        <v>1653</v>
      </c>
      <c r="S41" s="11" t="s">
        <v>1653</v>
      </c>
      <c r="T41" s="11"/>
      <c r="U41" s="81"/>
      <c r="V41" s="60"/>
      <c r="W41" s="60"/>
      <c r="X41" s="60"/>
      <c r="Y41" s="60"/>
      <c r="Z41" s="60"/>
      <c r="AB41" s="60"/>
      <c r="AD41" s="122" t="s">
        <v>1689</v>
      </c>
    </row>
    <row r="42" spans="1:30" ht="92" x14ac:dyDescent="0.35">
      <c r="A42" s="123" t="s">
        <v>1755</v>
      </c>
      <c r="B42" s="60"/>
      <c r="C42" s="63" t="s">
        <v>48</v>
      </c>
      <c r="D42" s="20" t="s">
        <v>3</v>
      </c>
      <c r="E42" s="21" t="s">
        <v>1790</v>
      </c>
      <c r="F42" s="22" t="s">
        <v>52</v>
      </c>
      <c r="G42" s="23" t="s">
        <v>2016</v>
      </c>
      <c r="H42" s="23" t="s">
        <v>5</v>
      </c>
      <c r="I42" s="52" t="s">
        <v>363</v>
      </c>
      <c r="J42" s="23"/>
      <c r="K42" s="23"/>
      <c r="L42" s="23"/>
      <c r="M42" s="29"/>
      <c r="N42" s="10" t="s">
        <v>338</v>
      </c>
      <c r="O42" s="10" t="s">
        <v>979</v>
      </c>
      <c r="P42" s="10" t="s">
        <v>338</v>
      </c>
      <c r="Q42" s="10" t="s">
        <v>338</v>
      </c>
      <c r="R42" s="11" t="s">
        <v>1653</v>
      </c>
      <c r="S42" s="11" t="s">
        <v>1653</v>
      </c>
      <c r="T42" s="11" t="s">
        <v>33</v>
      </c>
      <c r="U42" s="82"/>
      <c r="V42" s="60"/>
      <c r="W42" s="60"/>
      <c r="X42" s="60"/>
      <c r="Y42" s="60"/>
      <c r="Z42" s="60"/>
      <c r="AB42" s="60"/>
    </row>
    <row r="43" spans="1:30" ht="46" x14ac:dyDescent="0.35">
      <c r="A43" s="123" t="s">
        <v>1720</v>
      </c>
      <c r="B43" s="60"/>
      <c r="C43" s="63" t="s">
        <v>48</v>
      </c>
      <c r="D43" s="20" t="s">
        <v>3</v>
      </c>
      <c r="E43" s="21" t="s">
        <v>1791</v>
      </c>
      <c r="F43" s="22" t="s">
        <v>1728</v>
      </c>
      <c r="G43" s="23" t="s">
        <v>1734</v>
      </c>
      <c r="H43" s="23" t="s">
        <v>5</v>
      </c>
      <c r="I43" s="52" t="s">
        <v>363</v>
      </c>
      <c r="J43" s="23"/>
      <c r="K43" s="23"/>
      <c r="L43" s="23"/>
      <c r="M43" s="23"/>
      <c r="N43" s="10"/>
      <c r="O43" s="10"/>
      <c r="P43" s="10"/>
      <c r="Q43" s="10"/>
      <c r="R43" s="11" t="s">
        <v>1653</v>
      </c>
      <c r="S43" s="11" t="s">
        <v>1653</v>
      </c>
      <c r="T43" s="11" t="s">
        <v>1651</v>
      </c>
      <c r="U43" s="82"/>
      <c r="V43" s="60"/>
      <c r="W43" s="60"/>
      <c r="X43" s="60"/>
      <c r="Y43" s="60"/>
      <c r="Z43" s="60"/>
      <c r="AB43" s="60"/>
      <c r="AD43" s="122" t="s">
        <v>1683</v>
      </c>
    </row>
    <row r="44" spans="1:30" ht="34.5" x14ac:dyDescent="0.35">
      <c r="A44" s="123" t="s">
        <v>1732</v>
      </c>
      <c r="B44" s="60"/>
      <c r="C44" s="63" t="s">
        <v>48</v>
      </c>
      <c r="D44" s="20" t="s">
        <v>3</v>
      </c>
      <c r="E44" s="21" t="s">
        <v>1792</v>
      </c>
      <c r="F44" s="22" t="s">
        <v>1729</v>
      </c>
      <c r="G44" s="23" t="s">
        <v>1733</v>
      </c>
      <c r="H44" s="23" t="s">
        <v>5</v>
      </c>
      <c r="I44" s="52" t="s">
        <v>361</v>
      </c>
      <c r="J44" s="23"/>
      <c r="K44" s="23"/>
      <c r="L44" s="23"/>
      <c r="M44" s="29"/>
      <c r="N44" s="10"/>
      <c r="O44" s="10"/>
      <c r="P44" s="10"/>
      <c r="Q44" s="10"/>
      <c r="R44" s="11" t="s">
        <v>47</v>
      </c>
      <c r="S44" s="11" t="s">
        <v>47</v>
      </c>
      <c r="T44" s="11" t="s">
        <v>1653</v>
      </c>
      <c r="U44" s="81"/>
      <c r="V44" s="60"/>
      <c r="W44" s="60"/>
      <c r="X44" s="60"/>
      <c r="Y44" s="60"/>
      <c r="Z44" s="60"/>
      <c r="AB44" s="60"/>
    </row>
    <row r="45" spans="1:30" ht="57.5" x14ac:dyDescent="0.35">
      <c r="B45" s="60"/>
      <c r="C45" s="63" t="s">
        <v>48</v>
      </c>
      <c r="D45" s="20" t="s">
        <v>3</v>
      </c>
      <c r="E45" s="21" t="s">
        <v>1793</v>
      </c>
      <c r="F45" s="22" t="s">
        <v>1730</v>
      </c>
      <c r="G45" s="23" t="s">
        <v>1731</v>
      </c>
      <c r="H45" s="23" t="str">
        <f>"Decision 
If yes, proceed to step "&amp;E46&amp;" 
If no, proceed to "&amp;E48&amp;""</f>
        <v>Decision 
If yes, proceed to step 1.1.5.8 
If no, proceed to 1.1.5.10</v>
      </c>
      <c r="I45" s="52"/>
      <c r="J45" s="23"/>
      <c r="K45" s="23"/>
      <c r="L45" s="23"/>
      <c r="M45" s="29"/>
      <c r="N45" s="10"/>
      <c r="O45" s="10"/>
      <c r="P45" s="10"/>
      <c r="Q45" s="10"/>
      <c r="R45" s="11" t="s">
        <v>47</v>
      </c>
      <c r="S45" s="11" t="s">
        <v>47</v>
      </c>
      <c r="T45" s="11"/>
      <c r="U45" s="81"/>
      <c r="V45" s="60"/>
      <c r="W45" s="60"/>
      <c r="X45" s="60"/>
      <c r="Y45" s="60"/>
      <c r="Z45" s="60"/>
      <c r="AB45" s="60"/>
    </row>
    <row r="46" spans="1:30" ht="72.5" x14ac:dyDescent="0.35">
      <c r="A46" s="123" t="s">
        <v>1735</v>
      </c>
      <c r="B46" s="60"/>
      <c r="C46" s="63" t="s">
        <v>405</v>
      </c>
      <c r="D46" s="20" t="s">
        <v>3</v>
      </c>
      <c r="E46" s="21" t="s">
        <v>1794</v>
      </c>
      <c r="F46" s="22" t="s">
        <v>57</v>
      </c>
      <c r="G46" s="58" t="s">
        <v>1620</v>
      </c>
      <c r="H46" s="23" t="s">
        <v>5</v>
      </c>
      <c r="I46" s="52" t="s">
        <v>361</v>
      </c>
      <c r="J46" s="23" t="s">
        <v>1428</v>
      </c>
      <c r="K46" s="23" t="s">
        <v>604</v>
      </c>
      <c r="L46" s="23" t="s">
        <v>605</v>
      </c>
      <c r="M46" s="23" t="s">
        <v>606</v>
      </c>
      <c r="N46" s="10" t="s">
        <v>338</v>
      </c>
      <c r="O46" s="10" t="s">
        <v>979</v>
      </c>
      <c r="P46" s="10" t="s">
        <v>338</v>
      </c>
      <c r="Q46" s="10" t="s">
        <v>338</v>
      </c>
      <c r="R46" s="11" t="s">
        <v>364</v>
      </c>
      <c r="S46" s="11" t="s">
        <v>1653</v>
      </c>
      <c r="T46" s="11"/>
      <c r="U46" s="81"/>
      <c r="V46" s="60"/>
      <c r="W46" s="89" t="s">
        <v>1412</v>
      </c>
      <c r="X46" s="60"/>
      <c r="Y46" s="60"/>
      <c r="Z46" s="60"/>
      <c r="AB46" s="60"/>
      <c r="AD46" s="122" t="s">
        <v>1681</v>
      </c>
    </row>
    <row r="47" spans="1:30" ht="34.5" x14ac:dyDescent="0.35">
      <c r="B47" s="60"/>
      <c r="C47" s="63" t="s">
        <v>405</v>
      </c>
      <c r="D47" s="20" t="s">
        <v>3</v>
      </c>
      <c r="E47" s="21" t="s">
        <v>1795</v>
      </c>
      <c r="F47" s="22" t="s">
        <v>59</v>
      </c>
      <c r="G47" s="23" t="s">
        <v>404</v>
      </c>
      <c r="H47" s="23" t="s">
        <v>5</v>
      </c>
      <c r="I47" s="52" t="s">
        <v>361</v>
      </c>
      <c r="J47" s="23"/>
      <c r="K47" s="23"/>
      <c r="L47" s="23"/>
      <c r="M47" s="23"/>
      <c r="N47" s="10" t="s">
        <v>338</v>
      </c>
      <c r="O47" s="10" t="s">
        <v>979</v>
      </c>
      <c r="P47" s="10" t="s">
        <v>338</v>
      </c>
      <c r="Q47" s="10" t="s">
        <v>338</v>
      </c>
      <c r="R47" s="11" t="s">
        <v>60</v>
      </c>
      <c r="S47" s="33" t="s">
        <v>33</v>
      </c>
      <c r="T47" s="11"/>
      <c r="U47" s="81"/>
      <c r="V47" s="60"/>
      <c r="W47" s="60"/>
      <c r="X47" s="60"/>
      <c r="Y47" s="60"/>
      <c r="Z47" s="60"/>
      <c r="AB47" s="60"/>
    </row>
    <row r="48" spans="1:30" ht="57.5" x14ac:dyDescent="0.35">
      <c r="B48" s="60"/>
      <c r="C48" s="63" t="s">
        <v>48</v>
      </c>
      <c r="D48" s="20" t="s">
        <v>3</v>
      </c>
      <c r="E48" s="21" t="s">
        <v>1796</v>
      </c>
      <c r="F48" s="22" t="s">
        <v>61</v>
      </c>
      <c r="G48" s="23" t="s">
        <v>1737</v>
      </c>
      <c r="H48" s="23" t="str">
        <f>"Decision 
If yes, proceed to step "&amp;E49&amp;" 
If no, proceed to "&amp;E46&amp;""</f>
        <v>Decision 
If yes, proceed to step 1.1.5.11 
If no, proceed to 1.1.5.8</v>
      </c>
      <c r="I48" s="52" t="s">
        <v>363</v>
      </c>
      <c r="J48" s="23"/>
      <c r="K48" s="23"/>
      <c r="L48" s="23"/>
      <c r="M48" s="23"/>
      <c r="N48" s="10" t="s">
        <v>978</v>
      </c>
      <c r="O48" s="10" t="s">
        <v>979</v>
      </c>
      <c r="P48" s="10" t="s">
        <v>338</v>
      </c>
      <c r="Q48" s="10" t="s">
        <v>338</v>
      </c>
      <c r="R48" s="11" t="s">
        <v>1653</v>
      </c>
      <c r="S48" s="11" t="s">
        <v>1653</v>
      </c>
      <c r="T48" s="11"/>
      <c r="U48" s="81"/>
      <c r="V48" s="60"/>
      <c r="W48" s="60"/>
      <c r="X48" s="60"/>
      <c r="Y48" s="60"/>
      <c r="Z48" s="60"/>
      <c r="AB48" s="60"/>
    </row>
    <row r="49" spans="1:30" ht="34.5" x14ac:dyDescent="0.35">
      <c r="B49" s="60"/>
      <c r="C49" s="63" t="s">
        <v>48</v>
      </c>
      <c r="D49" s="20" t="s">
        <v>3</v>
      </c>
      <c r="E49" s="21" t="s">
        <v>1797</v>
      </c>
      <c r="F49" s="22" t="s">
        <v>1601</v>
      </c>
      <c r="G49" s="109" t="s">
        <v>1736</v>
      </c>
      <c r="H49" s="23" t="s">
        <v>5</v>
      </c>
      <c r="I49" s="52" t="s">
        <v>359</v>
      </c>
      <c r="J49" s="23"/>
      <c r="K49" s="23"/>
      <c r="L49" s="23"/>
      <c r="M49" s="23"/>
      <c r="N49" s="10" t="s">
        <v>978</v>
      </c>
      <c r="O49" s="10" t="s">
        <v>979</v>
      </c>
      <c r="P49" s="10" t="s">
        <v>338</v>
      </c>
      <c r="Q49" s="10" t="s">
        <v>338</v>
      </c>
      <c r="R49" s="11" t="s">
        <v>364</v>
      </c>
      <c r="S49" s="11" t="s">
        <v>1653</v>
      </c>
      <c r="T49" s="11"/>
      <c r="U49" s="81"/>
      <c r="V49" s="60"/>
      <c r="W49" s="60"/>
      <c r="X49" s="60"/>
      <c r="Y49" s="60"/>
      <c r="Z49" s="60"/>
      <c r="AB49" s="60"/>
      <c r="AD49" s="122" t="s">
        <v>1685</v>
      </c>
    </row>
    <row r="50" spans="1:30" ht="69" x14ac:dyDescent="0.35">
      <c r="A50" s="123" t="s">
        <v>1732</v>
      </c>
      <c r="B50" s="60"/>
      <c r="C50" s="63" t="s">
        <v>1739</v>
      </c>
      <c r="D50" s="20" t="s">
        <v>3</v>
      </c>
      <c r="E50" s="21" t="s">
        <v>1798</v>
      </c>
      <c r="F50" s="22" t="s">
        <v>1740</v>
      </c>
      <c r="G50" s="109" t="s">
        <v>1738</v>
      </c>
      <c r="H50" s="23" t="s">
        <v>5</v>
      </c>
      <c r="I50" s="52" t="s">
        <v>363</v>
      </c>
      <c r="J50" s="23"/>
      <c r="K50" s="23"/>
      <c r="L50" s="23"/>
      <c r="M50" s="23"/>
      <c r="N50" s="10" t="s">
        <v>29</v>
      </c>
      <c r="O50" s="10" t="s">
        <v>975</v>
      </c>
      <c r="P50" s="10" t="s">
        <v>29</v>
      </c>
      <c r="Q50" s="10" t="s">
        <v>975</v>
      </c>
      <c r="R50" s="11" t="s">
        <v>79</v>
      </c>
      <c r="S50" s="11" t="s">
        <v>338</v>
      </c>
      <c r="T50" s="33"/>
      <c r="U50" s="81"/>
      <c r="V50" s="103" t="s">
        <v>1602</v>
      </c>
      <c r="W50" s="60"/>
      <c r="X50" s="60"/>
      <c r="Y50" s="60"/>
      <c r="Z50" s="60"/>
      <c r="AB50" s="60"/>
      <c r="AD50" s="122" t="s">
        <v>1685</v>
      </c>
    </row>
    <row r="51" spans="1:30" ht="23" x14ac:dyDescent="0.35">
      <c r="B51" s="60"/>
      <c r="C51" s="63" t="s">
        <v>48</v>
      </c>
      <c r="D51" s="20" t="s">
        <v>3</v>
      </c>
      <c r="E51" s="21" t="s">
        <v>1799</v>
      </c>
      <c r="F51" s="22" t="s">
        <v>388</v>
      </c>
      <c r="G51" s="23" t="s">
        <v>1741</v>
      </c>
      <c r="H51" s="23" t="s">
        <v>5</v>
      </c>
      <c r="I51" s="52" t="s">
        <v>359</v>
      </c>
      <c r="J51" s="23"/>
      <c r="K51" s="23"/>
      <c r="L51" s="23"/>
      <c r="M51" s="23"/>
      <c r="N51" s="10" t="s">
        <v>338</v>
      </c>
      <c r="O51" s="10" t="s">
        <v>979</v>
      </c>
      <c r="P51" s="10" t="s">
        <v>338</v>
      </c>
      <c r="Q51" s="10" t="s">
        <v>338</v>
      </c>
      <c r="R51" s="11" t="s">
        <v>364</v>
      </c>
      <c r="S51" s="11" t="s">
        <v>1653</v>
      </c>
      <c r="T51" s="11"/>
      <c r="U51" s="81"/>
      <c r="V51" s="60"/>
      <c r="W51" s="60"/>
      <c r="X51" s="60"/>
      <c r="Y51" s="60"/>
      <c r="Z51" s="60"/>
      <c r="AB51" s="60"/>
    </row>
    <row r="52" spans="1:30" ht="46" x14ac:dyDescent="0.35">
      <c r="B52" s="87" t="s">
        <v>35</v>
      </c>
      <c r="C52" s="63" t="s">
        <v>438</v>
      </c>
      <c r="D52" s="20" t="s">
        <v>3</v>
      </c>
      <c r="E52" s="21" t="s">
        <v>1800</v>
      </c>
      <c r="F52" s="22" t="s">
        <v>439</v>
      </c>
      <c r="G52" s="23" t="s">
        <v>1876</v>
      </c>
      <c r="H52" s="23" t="s">
        <v>5</v>
      </c>
      <c r="I52" s="52" t="s">
        <v>359</v>
      </c>
      <c r="J52" s="23" t="s">
        <v>608</v>
      </c>
      <c r="K52" s="23" t="s">
        <v>607</v>
      </c>
      <c r="L52" s="23" t="s">
        <v>609</v>
      </c>
      <c r="M52" s="23" t="s">
        <v>610</v>
      </c>
      <c r="N52" s="10"/>
      <c r="O52" s="10"/>
      <c r="P52" s="10"/>
      <c r="Q52" s="10"/>
      <c r="R52" s="11" t="s">
        <v>1682</v>
      </c>
      <c r="S52" s="11" t="s">
        <v>1653</v>
      </c>
      <c r="T52" s="11"/>
      <c r="U52" s="81"/>
      <c r="V52" s="60"/>
      <c r="W52" s="60"/>
      <c r="X52" s="60"/>
      <c r="Y52" s="60"/>
      <c r="Z52" s="60"/>
      <c r="AB52" s="60"/>
    </row>
    <row r="53" spans="1:30" ht="69" x14ac:dyDescent="0.35">
      <c r="B53" s="87" t="s">
        <v>35</v>
      </c>
      <c r="C53" s="63" t="s">
        <v>518</v>
      </c>
      <c r="D53" s="20" t="s">
        <v>3</v>
      </c>
      <c r="E53" s="21" t="s">
        <v>1801</v>
      </c>
      <c r="F53" s="22" t="s">
        <v>422</v>
      </c>
      <c r="G53" s="58" t="s">
        <v>1742</v>
      </c>
      <c r="H53" s="23" t="s">
        <v>5</v>
      </c>
      <c r="I53" s="52" t="s">
        <v>359</v>
      </c>
      <c r="J53" s="58" t="s">
        <v>612</v>
      </c>
      <c r="K53" s="58" t="s">
        <v>611</v>
      </c>
      <c r="L53" s="58" t="s">
        <v>613</v>
      </c>
      <c r="M53" s="23" t="s">
        <v>614</v>
      </c>
      <c r="N53" s="10"/>
      <c r="O53" s="10"/>
      <c r="P53" s="10"/>
      <c r="Q53" s="10"/>
      <c r="R53" s="11" t="s">
        <v>1652</v>
      </c>
      <c r="S53" s="11" t="s">
        <v>1653</v>
      </c>
      <c r="T53" s="11"/>
      <c r="U53" s="81"/>
      <c r="V53" s="60"/>
      <c r="W53" s="60"/>
      <c r="X53" s="60"/>
      <c r="Y53" s="60"/>
      <c r="Z53" s="60"/>
      <c r="AB53" s="60"/>
      <c r="AD53" s="122" t="s">
        <v>1684</v>
      </c>
    </row>
    <row r="54" spans="1:30" ht="92" x14ac:dyDescent="0.35">
      <c r="B54" s="60"/>
      <c r="C54" s="63" t="s">
        <v>446</v>
      </c>
      <c r="D54" s="12" t="s">
        <v>1</v>
      </c>
      <c r="E54" s="13" t="s">
        <v>62</v>
      </c>
      <c r="F54" s="14" t="s">
        <v>1877</v>
      </c>
      <c r="G54" s="15" t="s">
        <v>440</v>
      </c>
      <c r="H54" s="15" t="s">
        <v>5</v>
      </c>
      <c r="I54" s="50"/>
      <c r="J54" s="15" t="s">
        <v>616</v>
      </c>
      <c r="K54" s="15" t="s">
        <v>615</v>
      </c>
      <c r="L54" s="15" t="s">
        <v>617</v>
      </c>
      <c r="M54" s="15" t="s">
        <v>618</v>
      </c>
      <c r="N54" s="10" t="s">
        <v>28</v>
      </c>
      <c r="O54" s="10" t="s">
        <v>29</v>
      </c>
      <c r="P54" s="10" t="s">
        <v>63</v>
      </c>
      <c r="Q54" s="10" t="s">
        <v>29</v>
      </c>
      <c r="R54" s="11" t="s">
        <v>1651</v>
      </c>
      <c r="S54" s="11" t="s">
        <v>1651</v>
      </c>
      <c r="T54" s="11" t="s">
        <v>1653</v>
      </c>
      <c r="U54" s="81"/>
      <c r="V54" s="60"/>
      <c r="W54" s="60"/>
      <c r="X54" s="60"/>
      <c r="Y54" s="60"/>
      <c r="Z54" s="60"/>
      <c r="AB54" s="60"/>
    </row>
    <row r="55" spans="1:30" ht="34.5" x14ac:dyDescent="0.35">
      <c r="B55" s="60"/>
      <c r="C55" s="63" t="s">
        <v>446</v>
      </c>
      <c r="D55" s="16" t="s">
        <v>2</v>
      </c>
      <c r="E55" s="17" t="s">
        <v>64</v>
      </c>
      <c r="F55" s="18" t="s">
        <v>409</v>
      </c>
      <c r="G55" s="56" t="str">
        <f>"Receive new project opportunity (following "&amp;E49&amp;" for new customers; point of origination for existing customers)"</f>
        <v>Receive new project opportunity (following 1.1.5.11 for new customers; point of origination for existing customers)</v>
      </c>
      <c r="H55" s="19" t="s">
        <v>5</v>
      </c>
      <c r="I55" s="51"/>
      <c r="J55" s="56"/>
      <c r="K55" s="56"/>
      <c r="L55" s="56"/>
      <c r="M55" s="56"/>
      <c r="N55" s="10" t="s">
        <v>338</v>
      </c>
      <c r="O55" s="10" t="s">
        <v>29</v>
      </c>
      <c r="P55" s="10" t="s">
        <v>981</v>
      </c>
      <c r="Q55" s="10" t="s">
        <v>29</v>
      </c>
      <c r="R55" s="11" t="s">
        <v>1651</v>
      </c>
      <c r="S55" s="11" t="s">
        <v>1651</v>
      </c>
      <c r="T55" s="11"/>
      <c r="U55" s="81"/>
      <c r="V55" s="119" t="s">
        <v>1058</v>
      </c>
      <c r="W55" s="60"/>
      <c r="X55" s="60"/>
      <c r="Y55" s="60"/>
      <c r="Z55" s="60"/>
      <c r="AB55" s="60"/>
    </row>
    <row r="56" spans="1:30" ht="46" x14ac:dyDescent="0.35">
      <c r="B56" s="60"/>
      <c r="C56" s="63" t="s">
        <v>48</v>
      </c>
      <c r="D56" s="20" t="s">
        <v>3</v>
      </c>
      <c r="E56" s="21" t="s">
        <v>410</v>
      </c>
      <c r="F56" s="22" t="s">
        <v>411</v>
      </c>
      <c r="G56" s="23" t="s">
        <v>412</v>
      </c>
      <c r="H56" s="109" t="str">
        <f>"Decision 
If yes, proceed to step "&amp;E60&amp;" 
If no, proceed to "&amp;E57&amp;""</f>
        <v>Decision 
If yes, proceed to step 1.2.2.3 
If no, proceed to 1.2.2</v>
      </c>
      <c r="I56" s="52" t="s">
        <v>363</v>
      </c>
      <c r="J56" s="23"/>
      <c r="K56" s="23"/>
      <c r="L56" s="23"/>
      <c r="M56" s="23"/>
      <c r="N56" s="10" t="s">
        <v>338</v>
      </c>
      <c r="O56" s="10" t="s">
        <v>979</v>
      </c>
      <c r="P56" s="10" t="s">
        <v>338</v>
      </c>
      <c r="Q56" s="10" t="s">
        <v>338</v>
      </c>
      <c r="R56" s="11" t="s">
        <v>1651</v>
      </c>
      <c r="S56" s="11" t="s">
        <v>1651</v>
      </c>
      <c r="T56" s="11" t="s">
        <v>1653</v>
      </c>
      <c r="U56" s="81"/>
      <c r="V56" s="60"/>
      <c r="W56" s="60"/>
      <c r="X56" s="60"/>
      <c r="Y56" s="60"/>
      <c r="Z56" s="60"/>
      <c r="AB56" s="60"/>
    </row>
    <row r="57" spans="1:30" ht="80.5" x14ac:dyDescent="0.35">
      <c r="B57" s="60"/>
      <c r="C57" s="63" t="s">
        <v>446</v>
      </c>
      <c r="D57" s="16" t="s">
        <v>2</v>
      </c>
      <c r="E57" s="17" t="s">
        <v>65</v>
      </c>
      <c r="F57" s="18" t="s">
        <v>66</v>
      </c>
      <c r="G57" s="56" t="s">
        <v>67</v>
      </c>
      <c r="H57" s="19" t="s">
        <v>5</v>
      </c>
      <c r="I57" s="51"/>
      <c r="J57" s="56" t="s">
        <v>620</v>
      </c>
      <c r="K57" s="56" t="s">
        <v>619</v>
      </c>
      <c r="L57" s="56" t="s">
        <v>621</v>
      </c>
      <c r="M57" s="56" t="s">
        <v>622</v>
      </c>
      <c r="N57" s="10" t="s">
        <v>338</v>
      </c>
      <c r="O57" s="10" t="s">
        <v>29</v>
      </c>
      <c r="P57" s="10" t="s">
        <v>338</v>
      </c>
      <c r="Q57" s="10" t="s">
        <v>29</v>
      </c>
      <c r="R57" s="11" t="s">
        <v>1651</v>
      </c>
      <c r="S57" s="11" t="s">
        <v>1651</v>
      </c>
      <c r="T57" s="11" t="s">
        <v>1653</v>
      </c>
      <c r="U57" s="81"/>
      <c r="V57" s="60"/>
      <c r="W57" s="60"/>
      <c r="X57" s="60"/>
      <c r="Y57" s="60"/>
      <c r="Z57" s="60"/>
      <c r="AB57" s="60"/>
    </row>
    <row r="58" spans="1:30" ht="34.5" x14ac:dyDescent="0.35">
      <c r="A58" s="123" t="s">
        <v>1720</v>
      </c>
      <c r="B58" s="60"/>
      <c r="C58" s="63"/>
      <c r="D58" s="20" t="s">
        <v>3</v>
      </c>
      <c r="E58" s="21" t="s">
        <v>68</v>
      </c>
      <c r="F58" s="64" t="s">
        <v>1804</v>
      </c>
      <c r="G58" s="58" t="s">
        <v>1812</v>
      </c>
      <c r="H58" s="23" t="s">
        <v>5</v>
      </c>
      <c r="I58" s="52" t="s">
        <v>363</v>
      </c>
      <c r="J58" s="23"/>
      <c r="K58" s="23"/>
      <c r="L58" s="23"/>
      <c r="M58" s="23"/>
      <c r="N58" s="10"/>
      <c r="O58" s="10"/>
      <c r="P58" s="10"/>
      <c r="Q58" s="10"/>
      <c r="R58" s="11" t="s">
        <v>1651</v>
      </c>
      <c r="S58" s="11" t="s">
        <v>1651</v>
      </c>
      <c r="T58" s="11" t="s">
        <v>1653</v>
      </c>
      <c r="U58" s="81"/>
      <c r="V58" s="103"/>
      <c r="W58" s="60"/>
      <c r="X58" s="60"/>
      <c r="Y58" s="60"/>
      <c r="Z58" s="60"/>
      <c r="AB58" s="60"/>
    </row>
    <row r="59" spans="1:30" ht="130.5" x14ac:dyDescent="0.35">
      <c r="A59" s="123" t="s">
        <v>1732</v>
      </c>
      <c r="B59" s="60"/>
      <c r="C59" s="63" t="s">
        <v>48</v>
      </c>
      <c r="D59" s="20" t="s">
        <v>3</v>
      </c>
      <c r="E59" s="21" t="s">
        <v>69</v>
      </c>
      <c r="F59" s="64" t="s">
        <v>441</v>
      </c>
      <c r="G59" s="58" t="s">
        <v>1761</v>
      </c>
      <c r="H59" s="23" t="s">
        <v>5</v>
      </c>
      <c r="I59" s="52" t="s">
        <v>363</v>
      </c>
      <c r="J59" s="23"/>
      <c r="K59" s="23"/>
      <c r="L59" s="23"/>
      <c r="M59" s="23"/>
      <c r="N59" s="10" t="s">
        <v>338</v>
      </c>
      <c r="O59" s="10" t="s">
        <v>979</v>
      </c>
      <c r="P59" s="10" t="s">
        <v>338</v>
      </c>
      <c r="Q59" s="10" t="s">
        <v>338</v>
      </c>
      <c r="R59" s="11" t="s">
        <v>1651</v>
      </c>
      <c r="S59" s="11" t="s">
        <v>1651</v>
      </c>
      <c r="T59" s="11" t="s">
        <v>1653</v>
      </c>
      <c r="U59" s="81"/>
      <c r="V59" s="103" t="s">
        <v>1056</v>
      </c>
      <c r="W59" s="60"/>
      <c r="X59" s="60"/>
      <c r="Y59" s="60"/>
      <c r="Z59" s="60"/>
      <c r="AB59" s="60"/>
      <c r="AD59" s="122" t="s">
        <v>1694</v>
      </c>
    </row>
    <row r="60" spans="1:30" ht="58" x14ac:dyDescent="0.35">
      <c r="A60" s="124" t="s">
        <v>1776</v>
      </c>
      <c r="B60" s="60"/>
      <c r="C60" s="63" t="s">
        <v>48</v>
      </c>
      <c r="D60" s="20" t="s">
        <v>3</v>
      </c>
      <c r="E60" s="21" t="s">
        <v>70</v>
      </c>
      <c r="F60" s="22" t="s">
        <v>510</v>
      </c>
      <c r="G60" s="23" t="s">
        <v>1878</v>
      </c>
      <c r="H60" s="23" t="s">
        <v>5</v>
      </c>
      <c r="I60" s="52" t="s">
        <v>363</v>
      </c>
      <c r="J60" s="23" t="s">
        <v>1603</v>
      </c>
      <c r="K60" s="23"/>
      <c r="L60" s="23"/>
      <c r="M60" s="23"/>
      <c r="N60" s="10" t="s">
        <v>338</v>
      </c>
      <c r="O60" s="10" t="s">
        <v>29</v>
      </c>
      <c r="P60" s="10" t="s">
        <v>980</v>
      </c>
      <c r="Q60" s="10" t="s">
        <v>29</v>
      </c>
      <c r="R60" s="11" t="s">
        <v>1651</v>
      </c>
      <c r="S60" s="11" t="s">
        <v>1651</v>
      </c>
      <c r="T60" s="11" t="s">
        <v>1653</v>
      </c>
      <c r="U60" s="81"/>
      <c r="V60" s="60"/>
      <c r="W60" s="104" t="s">
        <v>1593</v>
      </c>
      <c r="X60" s="60"/>
      <c r="Y60" s="60"/>
      <c r="Z60" s="60"/>
      <c r="AB60" s="60"/>
    </row>
    <row r="61" spans="1:30" ht="126.5" x14ac:dyDescent="0.35">
      <c r="A61" s="123" t="s">
        <v>1755</v>
      </c>
      <c r="B61" s="60"/>
      <c r="C61" s="63" t="s">
        <v>48</v>
      </c>
      <c r="D61" s="20" t="s">
        <v>3</v>
      </c>
      <c r="E61" s="21" t="s">
        <v>72</v>
      </c>
      <c r="F61" s="22" t="s">
        <v>511</v>
      </c>
      <c r="G61" s="23" t="s">
        <v>2015</v>
      </c>
      <c r="H61" s="23" t="s">
        <v>5</v>
      </c>
      <c r="I61" s="52" t="s">
        <v>363</v>
      </c>
      <c r="J61" s="23" t="s">
        <v>1604</v>
      </c>
      <c r="K61" s="23" t="s">
        <v>623</v>
      </c>
      <c r="L61" s="23" t="s">
        <v>624</v>
      </c>
      <c r="M61" s="23" t="s">
        <v>625</v>
      </c>
      <c r="N61" s="10" t="s">
        <v>982</v>
      </c>
      <c r="O61" s="10" t="s">
        <v>29</v>
      </c>
      <c r="P61" s="10" t="s">
        <v>982</v>
      </c>
      <c r="Q61" s="10" t="s">
        <v>29</v>
      </c>
      <c r="R61" s="11" t="s">
        <v>1651</v>
      </c>
      <c r="S61" s="11" t="s">
        <v>1651</v>
      </c>
      <c r="T61" s="11" t="s">
        <v>1653</v>
      </c>
      <c r="U61" s="81"/>
      <c r="V61" s="60"/>
      <c r="W61" s="105" t="s">
        <v>1595</v>
      </c>
      <c r="X61" s="60"/>
      <c r="Y61" s="60"/>
      <c r="Z61" s="60"/>
      <c r="AB61" s="60"/>
    </row>
    <row r="62" spans="1:30" ht="80.5" x14ac:dyDescent="0.35">
      <c r="A62" s="123" t="s">
        <v>1720</v>
      </c>
      <c r="B62" s="60"/>
      <c r="C62" s="63" t="s">
        <v>48</v>
      </c>
      <c r="D62" s="20" t="s">
        <v>3</v>
      </c>
      <c r="E62" s="21" t="s">
        <v>407</v>
      </c>
      <c r="F62" s="22" t="s">
        <v>1760</v>
      </c>
      <c r="G62" s="23" t="s">
        <v>1879</v>
      </c>
      <c r="H62" s="23" t="s">
        <v>5</v>
      </c>
      <c r="I62" s="52" t="s">
        <v>363</v>
      </c>
      <c r="J62" s="23" t="s">
        <v>1604</v>
      </c>
      <c r="K62" s="23" t="s">
        <v>623</v>
      </c>
      <c r="L62" s="23" t="s">
        <v>624</v>
      </c>
      <c r="M62" s="23" t="s">
        <v>625</v>
      </c>
      <c r="N62" s="10" t="s">
        <v>982</v>
      </c>
      <c r="O62" s="10" t="s">
        <v>29</v>
      </c>
      <c r="P62" s="10" t="s">
        <v>982</v>
      </c>
      <c r="Q62" s="10" t="s">
        <v>29</v>
      </c>
      <c r="R62" s="11" t="s">
        <v>1651</v>
      </c>
      <c r="S62" s="11" t="s">
        <v>1651</v>
      </c>
      <c r="T62" s="11" t="s">
        <v>1653</v>
      </c>
      <c r="U62" s="81"/>
      <c r="V62" s="60"/>
      <c r="W62" s="105"/>
      <c r="X62" s="60"/>
      <c r="Y62" s="60"/>
      <c r="Z62" s="60"/>
      <c r="AB62" s="60"/>
    </row>
    <row r="63" spans="1:30" ht="43.5" x14ac:dyDescent="0.35">
      <c r="B63" s="60"/>
      <c r="C63" s="63" t="s">
        <v>48</v>
      </c>
      <c r="D63" s="20" t="s">
        <v>3</v>
      </c>
      <c r="E63" s="21" t="s">
        <v>419</v>
      </c>
      <c r="F63" s="22" t="s">
        <v>512</v>
      </c>
      <c r="G63" s="23" t="s">
        <v>71</v>
      </c>
      <c r="H63" s="23" t="s">
        <v>5</v>
      </c>
      <c r="I63" s="52" t="s">
        <v>363</v>
      </c>
      <c r="J63" s="23" t="s">
        <v>1605</v>
      </c>
      <c r="K63" s="23"/>
      <c r="L63" s="23"/>
      <c r="M63" s="23"/>
      <c r="N63" s="10" t="s">
        <v>983</v>
      </c>
      <c r="O63" s="10" t="s">
        <v>29</v>
      </c>
      <c r="P63" s="10" t="s">
        <v>980</v>
      </c>
      <c r="Q63" s="10" t="s">
        <v>29</v>
      </c>
      <c r="R63" s="11" t="s">
        <v>1651</v>
      </c>
      <c r="S63" s="11" t="s">
        <v>1651</v>
      </c>
      <c r="T63" s="11" t="s">
        <v>539</v>
      </c>
      <c r="U63" s="81"/>
      <c r="V63" s="60"/>
      <c r="W63" s="104" t="s">
        <v>1596</v>
      </c>
      <c r="X63" s="60"/>
      <c r="Y63" s="60"/>
      <c r="Z63" s="60"/>
      <c r="AB63" s="60"/>
    </row>
    <row r="64" spans="1:30" ht="23" x14ac:dyDescent="0.35">
      <c r="B64" s="60"/>
      <c r="C64" s="63" t="s">
        <v>48</v>
      </c>
      <c r="D64" s="20" t="s">
        <v>3</v>
      </c>
      <c r="E64" s="21" t="s">
        <v>420</v>
      </c>
      <c r="F64" s="22" t="s">
        <v>509</v>
      </c>
      <c r="G64" s="23" t="s">
        <v>413</v>
      </c>
      <c r="H64" s="23" t="s">
        <v>5</v>
      </c>
      <c r="I64" s="52" t="s">
        <v>363</v>
      </c>
      <c r="J64" s="23"/>
      <c r="K64" s="23"/>
      <c r="L64" s="23"/>
      <c r="M64" s="23"/>
      <c r="N64" s="10" t="s">
        <v>338</v>
      </c>
      <c r="O64" s="10" t="s">
        <v>29</v>
      </c>
      <c r="P64" s="10" t="s">
        <v>338</v>
      </c>
      <c r="Q64" s="10" t="s">
        <v>29</v>
      </c>
      <c r="R64" s="11" t="s">
        <v>1651</v>
      </c>
      <c r="S64" s="11" t="s">
        <v>1651</v>
      </c>
      <c r="T64" s="11" t="s">
        <v>1653</v>
      </c>
      <c r="U64" s="81"/>
      <c r="V64" s="60"/>
      <c r="W64" s="107"/>
      <c r="X64" s="60"/>
      <c r="Y64" s="60"/>
      <c r="Z64" s="60"/>
      <c r="AB64" s="60"/>
    </row>
    <row r="65" spans="1:30" ht="57.5" x14ac:dyDescent="0.35">
      <c r="B65" s="60"/>
      <c r="C65" s="63" t="s">
        <v>48</v>
      </c>
      <c r="D65" s="20" t="s">
        <v>3</v>
      </c>
      <c r="E65" s="21" t="s">
        <v>1622</v>
      </c>
      <c r="F65" s="22" t="s">
        <v>506</v>
      </c>
      <c r="G65" s="23" t="s">
        <v>508</v>
      </c>
      <c r="H65" s="109" t="str">
        <f>"Decision 
If yes, proceed to step "&amp;E66&amp;" 
If no, proceed to "&amp;E67&amp;""</f>
        <v>Decision 
If yes, proceed to step 1.2.2.9 
If no, proceed to 1.2.2.10</v>
      </c>
      <c r="I65" s="52" t="s">
        <v>363</v>
      </c>
      <c r="J65" s="23" t="s">
        <v>1413</v>
      </c>
      <c r="K65" s="23"/>
      <c r="L65" s="23"/>
      <c r="M65" s="23"/>
      <c r="N65" s="10" t="s">
        <v>338</v>
      </c>
      <c r="O65" s="10" t="s">
        <v>979</v>
      </c>
      <c r="P65" s="10" t="s">
        <v>338</v>
      </c>
      <c r="Q65" s="10" t="s">
        <v>338</v>
      </c>
      <c r="R65" s="11" t="s">
        <v>1651</v>
      </c>
      <c r="S65" s="11" t="s">
        <v>1651</v>
      </c>
      <c r="T65" s="11" t="s">
        <v>1653</v>
      </c>
      <c r="U65" s="81"/>
      <c r="V65" s="60"/>
      <c r="W65" s="104" t="s">
        <v>1597</v>
      </c>
      <c r="X65" s="60"/>
      <c r="Y65" s="60"/>
      <c r="Z65" s="60"/>
      <c r="AB65" s="60"/>
    </row>
    <row r="66" spans="1:30" ht="80.5" x14ac:dyDescent="0.35">
      <c r="B66" s="60"/>
      <c r="C66" s="63" t="s">
        <v>48</v>
      </c>
      <c r="D66" s="20" t="s">
        <v>3</v>
      </c>
      <c r="E66" s="21" t="s">
        <v>1623</v>
      </c>
      <c r="F66" s="22" t="s">
        <v>1686</v>
      </c>
      <c r="G66" s="23" t="s">
        <v>1687</v>
      </c>
      <c r="H66" s="23" t="s">
        <v>5</v>
      </c>
      <c r="I66" s="52" t="s">
        <v>363</v>
      </c>
      <c r="J66" s="23" t="s">
        <v>1606</v>
      </c>
      <c r="K66" s="23"/>
      <c r="L66" s="23"/>
      <c r="M66" s="23"/>
      <c r="N66" s="10" t="s">
        <v>338</v>
      </c>
      <c r="O66" s="10" t="s">
        <v>979</v>
      </c>
      <c r="P66" s="10" t="s">
        <v>338</v>
      </c>
      <c r="Q66" s="10" t="s">
        <v>338</v>
      </c>
      <c r="R66" s="11" t="s">
        <v>1651</v>
      </c>
      <c r="S66" s="11" t="s">
        <v>1651</v>
      </c>
      <c r="T66" s="11" t="s">
        <v>1653</v>
      </c>
      <c r="U66" s="81"/>
      <c r="V66" s="60"/>
      <c r="W66" s="104" t="s">
        <v>1598</v>
      </c>
      <c r="X66" s="60"/>
      <c r="Y66" s="60"/>
      <c r="Z66" s="60"/>
      <c r="AB66" s="60"/>
      <c r="AD66" s="122" t="s">
        <v>1688</v>
      </c>
    </row>
    <row r="67" spans="1:30" ht="80.5" x14ac:dyDescent="0.35">
      <c r="B67" s="60" t="s">
        <v>35</v>
      </c>
      <c r="C67" s="63" t="s">
        <v>438</v>
      </c>
      <c r="D67" s="20" t="s">
        <v>3</v>
      </c>
      <c r="E67" s="21" t="s">
        <v>1624</v>
      </c>
      <c r="F67" s="22" t="s">
        <v>1625</v>
      </c>
      <c r="G67" s="58" t="s">
        <v>1690</v>
      </c>
      <c r="H67" s="23" t="s">
        <v>5</v>
      </c>
      <c r="I67" s="52" t="s">
        <v>359</v>
      </c>
      <c r="J67" s="23"/>
      <c r="K67" s="23"/>
      <c r="L67" s="23"/>
      <c r="M67" s="23"/>
      <c r="N67" s="10" t="s">
        <v>978</v>
      </c>
      <c r="O67" s="10" t="s">
        <v>979</v>
      </c>
      <c r="P67" s="10" t="s">
        <v>338</v>
      </c>
      <c r="Q67" s="10" t="s">
        <v>338</v>
      </c>
      <c r="R67" s="11" t="s">
        <v>1652</v>
      </c>
      <c r="S67" s="11" t="s">
        <v>1651</v>
      </c>
      <c r="T67" s="11" t="s">
        <v>1653</v>
      </c>
      <c r="U67" s="81"/>
      <c r="V67" s="60"/>
      <c r="W67" s="104"/>
      <c r="X67" s="60"/>
      <c r="Y67" s="60"/>
      <c r="Z67" s="60"/>
      <c r="AB67" s="60"/>
    </row>
    <row r="68" spans="1:30" ht="57.5" x14ac:dyDescent="0.35">
      <c r="B68" s="60" t="s">
        <v>35</v>
      </c>
      <c r="C68" s="63" t="s">
        <v>438</v>
      </c>
      <c r="D68" s="20" t="s">
        <v>3</v>
      </c>
      <c r="E68" s="21" t="s">
        <v>1744</v>
      </c>
      <c r="F68" s="22" t="s">
        <v>1626</v>
      </c>
      <c r="G68" s="58" t="s">
        <v>1693</v>
      </c>
      <c r="H68" s="23" t="s">
        <v>5</v>
      </c>
      <c r="I68" s="52" t="s">
        <v>359</v>
      </c>
      <c r="J68" s="23"/>
      <c r="K68" s="23"/>
      <c r="L68" s="23"/>
      <c r="M68" s="23"/>
      <c r="N68" s="10" t="s">
        <v>978</v>
      </c>
      <c r="O68" s="10" t="s">
        <v>979</v>
      </c>
      <c r="P68" s="10" t="s">
        <v>338</v>
      </c>
      <c r="Q68" s="10" t="s">
        <v>338</v>
      </c>
      <c r="R68" s="11" t="s">
        <v>1652</v>
      </c>
      <c r="S68" s="11" t="s">
        <v>1651</v>
      </c>
      <c r="T68" s="11" t="s">
        <v>1653</v>
      </c>
      <c r="U68" s="81"/>
      <c r="V68" s="60"/>
      <c r="W68" s="104"/>
      <c r="X68" s="60"/>
      <c r="Y68" s="60"/>
      <c r="Z68" s="60"/>
      <c r="AB68" s="60"/>
    </row>
    <row r="69" spans="1:30" ht="58" x14ac:dyDescent="0.35">
      <c r="B69" s="60" t="s">
        <v>35</v>
      </c>
      <c r="C69" s="63" t="s">
        <v>438</v>
      </c>
      <c r="D69" s="20" t="s">
        <v>3</v>
      </c>
      <c r="E69" s="21" t="s">
        <v>1762</v>
      </c>
      <c r="F69" s="22" t="s">
        <v>1627</v>
      </c>
      <c r="G69" s="45" t="s">
        <v>1754</v>
      </c>
      <c r="H69" s="23" t="s">
        <v>5</v>
      </c>
      <c r="I69" s="52" t="s">
        <v>359</v>
      </c>
      <c r="J69" s="23"/>
      <c r="K69" s="23"/>
      <c r="L69" s="23"/>
      <c r="M69" s="23"/>
      <c r="N69" s="10" t="s">
        <v>978</v>
      </c>
      <c r="O69" s="10" t="s">
        <v>979</v>
      </c>
      <c r="P69" s="10" t="s">
        <v>338</v>
      </c>
      <c r="Q69" s="10" t="s">
        <v>338</v>
      </c>
      <c r="R69" s="11" t="s">
        <v>1652</v>
      </c>
      <c r="S69" s="11" t="s">
        <v>1651</v>
      </c>
      <c r="T69" s="11" t="s">
        <v>1653</v>
      </c>
      <c r="U69" s="81"/>
      <c r="V69" s="60"/>
      <c r="W69" s="104"/>
      <c r="X69" s="60"/>
      <c r="Y69" s="60"/>
      <c r="Z69" s="60"/>
      <c r="AB69" s="60"/>
      <c r="AD69" s="122" t="s">
        <v>1691</v>
      </c>
    </row>
    <row r="70" spans="1:30" ht="103.5" x14ac:dyDescent="0.35">
      <c r="A70" s="123" t="s">
        <v>1732</v>
      </c>
      <c r="B70" s="60"/>
      <c r="C70" s="63" t="s">
        <v>438</v>
      </c>
      <c r="D70" s="16" t="s">
        <v>2</v>
      </c>
      <c r="E70" s="17" t="s">
        <v>73</v>
      </c>
      <c r="F70" s="18" t="s">
        <v>1630</v>
      </c>
      <c r="G70" s="56" t="s">
        <v>1757</v>
      </c>
      <c r="H70" s="19"/>
      <c r="I70" s="51" t="s">
        <v>363</v>
      </c>
      <c r="J70" s="56"/>
      <c r="K70" s="56"/>
      <c r="L70" s="56"/>
      <c r="M70" s="56"/>
      <c r="N70" s="10"/>
      <c r="O70" s="10"/>
      <c r="P70" s="10"/>
      <c r="Q70" s="10"/>
      <c r="R70" s="11" t="s">
        <v>1652</v>
      </c>
      <c r="S70" s="11" t="s">
        <v>1651</v>
      </c>
      <c r="T70" s="11" t="s">
        <v>1653</v>
      </c>
      <c r="U70" s="81"/>
      <c r="V70" s="60"/>
      <c r="W70" s="104"/>
      <c r="X70" s="60"/>
      <c r="Y70" s="60"/>
      <c r="Z70" s="60"/>
      <c r="AB70" s="60"/>
    </row>
    <row r="71" spans="1:30" ht="46" x14ac:dyDescent="0.35">
      <c r="B71" s="60"/>
      <c r="C71" s="63" t="s">
        <v>438</v>
      </c>
      <c r="D71" s="20" t="s">
        <v>3</v>
      </c>
      <c r="E71" s="21" t="s">
        <v>1631</v>
      </c>
      <c r="F71" s="22" t="s">
        <v>1632</v>
      </c>
      <c r="G71" s="58" t="s">
        <v>1633</v>
      </c>
      <c r="H71" s="23" t="str">
        <f>"Decision 
If yes, proceed to step "&amp;E72&amp;" 
If no, proceed to "&amp;E75&amp;""</f>
        <v>Decision 
If yes, proceed to step 1.2.3.2 
If no, proceed to 1.2.4</v>
      </c>
      <c r="I71" s="52" t="s">
        <v>363</v>
      </c>
      <c r="J71" s="23"/>
      <c r="K71" s="23"/>
      <c r="L71" s="23"/>
      <c r="M71" s="23"/>
      <c r="N71" s="10"/>
      <c r="O71" s="10"/>
      <c r="P71" s="10"/>
      <c r="Q71" s="10"/>
      <c r="R71" s="11" t="s">
        <v>1652</v>
      </c>
      <c r="S71" s="11" t="s">
        <v>1651</v>
      </c>
      <c r="T71" s="11"/>
      <c r="U71" s="81"/>
      <c r="V71" s="60"/>
      <c r="W71" s="104"/>
      <c r="X71" s="60"/>
      <c r="Y71" s="60"/>
      <c r="Z71" s="60"/>
      <c r="AB71" s="60"/>
    </row>
    <row r="72" spans="1:30" ht="87" x14ac:dyDescent="0.35">
      <c r="A72" s="124" t="s">
        <v>1850</v>
      </c>
      <c r="B72" s="60"/>
      <c r="C72" s="63"/>
      <c r="D72" s="20" t="s">
        <v>3</v>
      </c>
      <c r="E72" s="21" t="s">
        <v>1634</v>
      </c>
      <c r="F72" s="22" t="s">
        <v>1636</v>
      </c>
      <c r="G72" s="58" t="s">
        <v>1773</v>
      </c>
      <c r="H72" s="23" t="s">
        <v>5</v>
      </c>
      <c r="I72" s="52" t="s">
        <v>363</v>
      </c>
      <c r="J72" s="23"/>
      <c r="K72" s="23"/>
      <c r="L72" s="23"/>
      <c r="M72" s="23"/>
      <c r="N72" s="10"/>
      <c r="O72" s="10"/>
      <c r="P72" s="10"/>
      <c r="Q72" s="10"/>
      <c r="R72" s="11" t="s">
        <v>534</v>
      </c>
      <c r="S72" s="11" t="s">
        <v>534</v>
      </c>
      <c r="T72" s="11" t="s">
        <v>1651</v>
      </c>
      <c r="U72" s="81"/>
      <c r="V72" s="60"/>
      <c r="W72" s="104"/>
      <c r="X72" s="60"/>
      <c r="Y72" s="60"/>
      <c r="Z72" s="60"/>
      <c r="AB72" s="60"/>
      <c r="AD72" s="122" t="s">
        <v>1756</v>
      </c>
    </row>
    <row r="73" spans="1:30" ht="46" x14ac:dyDescent="0.35">
      <c r="B73" s="60"/>
      <c r="C73" s="63" t="s">
        <v>1774</v>
      </c>
      <c r="D73" s="20" t="s">
        <v>3</v>
      </c>
      <c r="E73" s="21" t="s">
        <v>1635</v>
      </c>
      <c r="F73" s="22" t="s">
        <v>1638</v>
      </c>
      <c r="G73" s="58" t="str">
        <f>"Proceed to project setup at "&amp;E107&amp;". Time bound"</f>
        <v>Proceed to project setup at 1.3.1. Time bound</v>
      </c>
      <c r="H73" s="23" t="s">
        <v>5</v>
      </c>
      <c r="I73" s="52" t="s">
        <v>363</v>
      </c>
      <c r="J73" s="23"/>
      <c r="K73" s="23"/>
      <c r="L73" s="23"/>
      <c r="M73" s="23"/>
      <c r="N73" s="10"/>
      <c r="O73" s="10"/>
      <c r="P73" s="10"/>
      <c r="Q73" s="10"/>
      <c r="R73" s="11" t="s">
        <v>1652</v>
      </c>
      <c r="S73" s="11" t="s">
        <v>1651</v>
      </c>
      <c r="T73" s="11"/>
      <c r="U73" s="81"/>
      <c r="V73" s="60"/>
      <c r="W73" s="104"/>
      <c r="X73" s="60"/>
      <c r="Y73" s="60"/>
      <c r="Z73" s="60"/>
      <c r="AB73" s="60"/>
    </row>
    <row r="74" spans="1:30" ht="80.5" x14ac:dyDescent="0.35">
      <c r="A74" s="123" t="s">
        <v>1720</v>
      </c>
      <c r="B74" s="60"/>
      <c r="C74" s="63" t="s">
        <v>1772</v>
      </c>
      <c r="D74" s="20" t="s">
        <v>3</v>
      </c>
      <c r="E74" s="21" t="s">
        <v>1637</v>
      </c>
      <c r="F74" s="22" t="s">
        <v>1759</v>
      </c>
      <c r="G74" s="58" t="s">
        <v>1775</v>
      </c>
      <c r="H74" s="23" t="s">
        <v>5</v>
      </c>
      <c r="I74" s="52" t="s">
        <v>361</v>
      </c>
      <c r="J74" s="23"/>
      <c r="K74" s="23"/>
      <c r="L74" s="23"/>
      <c r="M74" s="23"/>
      <c r="N74" s="10"/>
      <c r="O74" s="10"/>
      <c r="P74" s="10"/>
      <c r="Q74" s="10"/>
      <c r="R74" s="11" t="s">
        <v>1651</v>
      </c>
      <c r="S74" s="11" t="s">
        <v>534</v>
      </c>
      <c r="T74" s="11"/>
      <c r="U74" s="81"/>
      <c r="V74" s="60"/>
      <c r="W74" s="104"/>
      <c r="X74" s="60"/>
      <c r="Y74" s="60"/>
      <c r="Z74" s="60"/>
      <c r="AB74" s="60"/>
      <c r="AD74" s="122" t="s">
        <v>1771</v>
      </c>
    </row>
    <row r="75" spans="1:30" ht="87" x14ac:dyDescent="0.35">
      <c r="B75" s="60"/>
      <c r="C75" s="63" t="s">
        <v>405</v>
      </c>
      <c r="D75" s="16" t="s">
        <v>2</v>
      </c>
      <c r="E75" s="17" t="s">
        <v>75</v>
      </c>
      <c r="F75" s="18" t="s">
        <v>74</v>
      </c>
      <c r="G75" s="56" t="s">
        <v>1751</v>
      </c>
      <c r="H75" s="19" t="s">
        <v>5</v>
      </c>
      <c r="I75" s="51"/>
      <c r="J75" s="56" t="s">
        <v>1428</v>
      </c>
      <c r="K75" s="56" t="s">
        <v>626</v>
      </c>
      <c r="L75" s="56" t="s">
        <v>627</v>
      </c>
      <c r="M75" s="56" t="s">
        <v>628</v>
      </c>
      <c r="N75" s="10" t="s">
        <v>338</v>
      </c>
      <c r="O75" s="10" t="s">
        <v>29</v>
      </c>
      <c r="P75" s="10" t="s">
        <v>338</v>
      </c>
      <c r="Q75" s="10" t="s">
        <v>29</v>
      </c>
      <c r="R75" s="11" t="s">
        <v>1651</v>
      </c>
      <c r="S75" s="11" t="s">
        <v>1651</v>
      </c>
      <c r="T75" s="11" t="s">
        <v>1653</v>
      </c>
      <c r="U75" s="81"/>
      <c r="V75" s="60"/>
      <c r="W75" s="89" t="s">
        <v>1412</v>
      </c>
      <c r="X75" s="60"/>
      <c r="Y75" s="60"/>
      <c r="Z75" s="60"/>
      <c r="AB75" s="60"/>
      <c r="AD75" s="122" t="s">
        <v>1752</v>
      </c>
    </row>
    <row r="76" spans="1:30" ht="23" x14ac:dyDescent="0.35">
      <c r="B76" s="60"/>
      <c r="C76" s="63" t="s">
        <v>405</v>
      </c>
      <c r="D76" s="16" t="s">
        <v>2</v>
      </c>
      <c r="E76" s="17" t="s">
        <v>76</v>
      </c>
      <c r="F76" s="18" t="s">
        <v>59</v>
      </c>
      <c r="G76" s="56" t="s">
        <v>415</v>
      </c>
      <c r="H76" s="19" t="s">
        <v>5</v>
      </c>
      <c r="I76" s="51"/>
      <c r="J76" s="56"/>
      <c r="K76" s="56"/>
      <c r="L76" s="56"/>
      <c r="M76" s="31"/>
      <c r="N76" s="10" t="s">
        <v>338</v>
      </c>
      <c r="O76" s="10" t="s">
        <v>29</v>
      </c>
      <c r="P76" s="10" t="s">
        <v>338</v>
      </c>
      <c r="Q76" s="10" t="s">
        <v>29</v>
      </c>
      <c r="R76" s="11" t="s">
        <v>1651</v>
      </c>
      <c r="S76" s="11" t="s">
        <v>1651</v>
      </c>
      <c r="T76" s="11" t="s">
        <v>1653</v>
      </c>
      <c r="U76" s="81"/>
      <c r="V76" s="60"/>
      <c r="W76" s="60"/>
      <c r="X76" s="60"/>
      <c r="Y76" s="60"/>
      <c r="Z76" s="60"/>
      <c r="AB76" s="60"/>
    </row>
    <row r="77" spans="1:30" ht="34.5" x14ac:dyDescent="0.35">
      <c r="B77" s="60"/>
      <c r="C77" s="63" t="s">
        <v>405</v>
      </c>
      <c r="D77" s="20" t="s">
        <v>3</v>
      </c>
      <c r="E77" s="21" t="s">
        <v>81</v>
      </c>
      <c r="F77" s="22" t="s">
        <v>57</v>
      </c>
      <c r="G77" s="23" t="s">
        <v>414</v>
      </c>
      <c r="H77" s="23" t="s">
        <v>5</v>
      </c>
      <c r="I77" s="52" t="s">
        <v>361</v>
      </c>
      <c r="J77" s="23"/>
      <c r="K77" s="23"/>
      <c r="L77" s="23"/>
      <c r="M77" s="29"/>
      <c r="N77" s="10" t="s">
        <v>338</v>
      </c>
      <c r="O77" s="10" t="s">
        <v>979</v>
      </c>
      <c r="P77" s="10" t="s">
        <v>338</v>
      </c>
      <c r="Q77" s="10" t="s">
        <v>338</v>
      </c>
      <c r="R77" s="11" t="s">
        <v>1651</v>
      </c>
      <c r="S77" s="11" t="s">
        <v>1651</v>
      </c>
      <c r="T77" s="11" t="s">
        <v>1653</v>
      </c>
      <c r="U77" s="81"/>
      <c r="V77" s="60"/>
      <c r="W77" s="60"/>
      <c r="X77" s="60"/>
      <c r="Y77" s="60"/>
      <c r="Z77" s="60"/>
      <c r="AB77" s="60"/>
    </row>
    <row r="78" spans="1:30" ht="23" x14ac:dyDescent="0.35">
      <c r="B78" s="60"/>
      <c r="C78" s="63" t="s">
        <v>48</v>
      </c>
      <c r="D78" s="20" t="s">
        <v>3</v>
      </c>
      <c r="E78" s="21" t="s">
        <v>83</v>
      </c>
      <c r="F78" s="22" t="s">
        <v>396</v>
      </c>
      <c r="G78" s="23" t="s">
        <v>416</v>
      </c>
      <c r="H78" s="23" t="s">
        <v>5</v>
      </c>
      <c r="I78" s="52" t="s">
        <v>363</v>
      </c>
      <c r="J78" s="23"/>
      <c r="K78" s="23"/>
      <c r="L78" s="23"/>
      <c r="M78" s="29"/>
      <c r="N78" s="10" t="s">
        <v>978</v>
      </c>
      <c r="O78" s="10" t="s">
        <v>979</v>
      </c>
      <c r="P78" s="10" t="s">
        <v>338</v>
      </c>
      <c r="Q78" s="10" t="s">
        <v>338</v>
      </c>
      <c r="R78" s="11" t="s">
        <v>1651</v>
      </c>
      <c r="S78" s="11" t="s">
        <v>1651</v>
      </c>
      <c r="T78" s="11" t="s">
        <v>1653</v>
      </c>
      <c r="U78" s="81"/>
      <c r="V78" s="60"/>
      <c r="W78" s="60"/>
      <c r="X78" s="60"/>
      <c r="Y78" s="60"/>
      <c r="Z78" s="60"/>
      <c r="AB78" s="60"/>
    </row>
    <row r="79" spans="1:30" ht="34.5" x14ac:dyDescent="0.35">
      <c r="B79" s="60"/>
      <c r="C79" s="63" t="s">
        <v>405</v>
      </c>
      <c r="D79" s="20" t="s">
        <v>3</v>
      </c>
      <c r="E79" s="21" t="s">
        <v>85</v>
      </c>
      <c r="F79" s="22" t="s">
        <v>417</v>
      </c>
      <c r="G79" s="58" t="s">
        <v>1621</v>
      </c>
      <c r="H79" s="23" t="s">
        <v>5</v>
      </c>
      <c r="I79" s="52" t="s">
        <v>361</v>
      </c>
      <c r="J79" s="23"/>
      <c r="K79" s="23"/>
      <c r="L79" s="23"/>
      <c r="M79" s="29"/>
      <c r="N79" s="10" t="s">
        <v>338</v>
      </c>
      <c r="O79" s="10" t="s">
        <v>979</v>
      </c>
      <c r="P79" s="10" t="s">
        <v>338</v>
      </c>
      <c r="Q79" s="10" t="s">
        <v>338</v>
      </c>
      <c r="R79" s="11" t="s">
        <v>1651</v>
      </c>
      <c r="S79" s="11" t="s">
        <v>1651</v>
      </c>
      <c r="T79" s="11" t="s">
        <v>1653</v>
      </c>
      <c r="U79" s="81"/>
      <c r="V79" s="60"/>
      <c r="W79" s="89" t="s">
        <v>1414</v>
      </c>
      <c r="X79" s="60"/>
      <c r="Y79" s="60"/>
      <c r="Z79" s="60"/>
      <c r="AB79" s="60"/>
    </row>
    <row r="80" spans="1:30" ht="46" x14ac:dyDescent="0.35">
      <c r="B80" s="60" t="s">
        <v>35</v>
      </c>
      <c r="C80" s="63" t="s">
        <v>48</v>
      </c>
      <c r="D80" s="20" t="s">
        <v>3</v>
      </c>
      <c r="E80" s="21" t="s">
        <v>87</v>
      </c>
      <c r="F80" s="22" t="s">
        <v>61</v>
      </c>
      <c r="G80" s="23" t="s">
        <v>406</v>
      </c>
      <c r="H80" s="23" t="s">
        <v>5</v>
      </c>
      <c r="I80" s="52" t="s">
        <v>359</v>
      </c>
      <c r="J80" s="23"/>
      <c r="K80" s="23"/>
      <c r="L80" s="23"/>
      <c r="M80" s="29"/>
      <c r="N80" s="10" t="s">
        <v>338</v>
      </c>
      <c r="O80" s="10" t="s">
        <v>979</v>
      </c>
      <c r="P80" s="10" t="s">
        <v>338</v>
      </c>
      <c r="Q80" s="10" t="s">
        <v>338</v>
      </c>
      <c r="R80" s="11" t="s">
        <v>1652</v>
      </c>
      <c r="S80" s="11" t="s">
        <v>534</v>
      </c>
      <c r="T80" s="11" t="s">
        <v>1653</v>
      </c>
      <c r="U80" s="81"/>
      <c r="V80" s="60"/>
      <c r="W80" s="60"/>
      <c r="X80" s="60"/>
      <c r="Y80" s="60"/>
      <c r="Z80" s="60"/>
      <c r="AB80" s="60"/>
    </row>
    <row r="81" spans="1:30" ht="58" x14ac:dyDescent="0.35">
      <c r="B81" s="87" t="s">
        <v>35</v>
      </c>
      <c r="C81" s="63" t="s">
        <v>438</v>
      </c>
      <c r="D81" s="20" t="s">
        <v>3</v>
      </c>
      <c r="E81" s="21" t="s">
        <v>88</v>
      </c>
      <c r="F81" s="22" t="s">
        <v>437</v>
      </c>
      <c r="G81" s="58" t="s">
        <v>1692</v>
      </c>
      <c r="H81" s="23" t="s">
        <v>5</v>
      </c>
      <c r="I81" s="52" t="s">
        <v>359</v>
      </c>
      <c r="J81" s="23" t="s">
        <v>1599</v>
      </c>
      <c r="K81" s="23" t="s">
        <v>629</v>
      </c>
      <c r="L81" s="23" t="s">
        <v>630</v>
      </c>
      <c r="M81" s="23" t="s">
        <v>631</v>
      </c>
      <c r="N81" s="10" t="s">
        <v>978</v>
      </c>
      <c r="O81" s="10" t="s">
        <v>979</v>
      </c>
      <c r="P81" s="10" t="s">
        <v>338</v>
      </c>
      <c r="Q81" s="10" t="s">
        <v>338</v>
      </c>
      <c r="R81" s="11" t="s">
        <v>1652</v>
      </c>
      <c r="S81" s="11" t="s">
        <v>1651</v>
      </c>
      <c r="T81" s="11" t="s">
        <v>1653</v>
      </c>
      <c r="U81" s="81"/>
      <c r="V81" s="60"/>
      <c r="W81" s="92" t="s">
        <v>1415</v>
      </c>
      <c r="X81" s="60"/>
      <c r="Y81" s="60"/>
      <c r="Z81" s="60"/>
      <c r="AB81" s="60"/>
    </row>
    <row r="82" spans="1:30" ht="69" x14ac:dyDescent="0.35">
      <c r="B82" s="87" t="s">
        <v>35</v>
      </c>
      <c r="C82" s="63" t="s">
        <v>518</v>
      </c>
      <c r="D82" s="20" t="s">
        <v>3</v>
      </c>
      <c r="E82" s="21" t="s">
        <v>89</v>
      </c>
      <c r="F82" s="22" t="s">
        <v>425</v>
      </c>
      <c r="G82" s="58" t="s">
        <v>1059</v>
      </c>
      <c r="H82" s="23" t="s">
        <v>5</v>
      </c>
      <c r="I82" s="52" t="s">
        <v>359</v>
      </c>
      <c r="J82" s="58" t="s">
        <v>633</v>
      </c>
      <c r="K82" s="58" t="s">
        <v>632</v>
      </c>
      <c r="L82" s="58" t="s">
        <v>634</v>
      </c>
      <c r="M82" s="23" t="s">
        <v>635</v>
      </c>
      <c r="N82" s="10" t="s">
        <v>978</v>
      </c>
      <c r="O82" s="10" t="s">
        <v>979</v>
      </c>
      <c r="P82" s="10" t="s">
        <v>338</v>
      </c>
      <c r="Q82" s="10" t="s">
        <v>338</v>
      </c>
      <c r="R82" s="11" t="s">
        <v>1652</v>
      </c>
      <c r="S82" s="11" t="s">
        <v>1651</v>
      </c>
      <c r="T82" s="11" t="s">
        <v>1653</v>
      </c>
      <c r="U82" s="81"/>
      <c r="V82" s="60"/>
      <c r="W82" s="60"/>
      <c r="X82" s="60"/>
      <c r="Y82" s="60"/>
      <c r="Z82" s="60"/>
      <c r="AB82" s="60"/>
    </row>
    <row r="83" spans="1:30" ht="57.5" x14ac:dyDescent="0.35">
      <c r="B83" s="87" t="s">
        <v>35</v>
      </c>
      <c r="C83" s="63" t="s">
        <v>438</v>
      </c>
      <c r="D83" s="20" t="s">
        <v>3</v>
      </c>
      <c r="E83" s="21" t="s">
        <v>426</v>
      </c>
      <c r="F83" s="22" t="s">
        <v>421</v>
      </c>
      <c r="G83" s="45" t="s">
        <v>1753</v>
      </c>
      <c r="H83" s="109" t="str">
        <f>"Decision 
If yes, proceed to step "&amp;E85&amp;" 
If no, proceed to "&amp;E66&amp;""</f>
        <v>Decision 
If yes, proceed to step 1.2.5.9 
If no, proceed to 1.2.2.9</v>
      </c>
      <c r="I83" s="52" t="s">
        <v>359</v>
      </c>
      <c r="J83" s="23"/>
      <c r="K83" s="23"/>
      <c r="L83" s="23"/>
      <c r="M83" s="23"/>
      <c r="N83" s="10" t="s">
        <v>978</v>
      </c>
      <c r="O83" s="10" t="s">
        <v>979</v>
      </c>
      <c r="P83" s="10" t="s">
        <v>338</v>
      </c>
      <c r="Q83" s="10" t="s">
        <v>338</v>
      </c>
      <c r="R83" s="11" t="s">
        <v>1652</v>
      </c>
      <c r="S83" s="11" t="s">
        <v>1651</v>
      </c>
      <c r="T83" s="11" t="s">
        <v>1653</v>
      </c>
      <c r="U83" s="81"/>
      <c r="V83" s="60"/>
      <c r="W83" s="92" t="s">
        <v>1664</v>
      </c>
      <c r="X83" s="60"/>
      <c r="Y83" s="60"/>
      <c r="Z83" s="60"/>
      <c r="AB83" s="60"/>
    </row>
    <row r="84" spans="1:30" ht="34.5" x14ac:dyDescent="0.35">
      <c r="B84" s="87"/>
      <c r="C84" s="63" t="s">
        <v>442</v>
      </c>
      <c r="D84" s="20" t="s">
        <v>3</v>
      </c>
      <c r="E84" s="21" t="s">
        <v>444</v>
      </c>
      <c r="F84" s="22" t="s">
        <v>423</v>
      </c>
      <c r="G84" s="23" t="s">
        <v>424</v>
      </c>
      <c r="H84" s="23" t="s">
        <v>5</v>
      </c>
      <c r="I84" s="52" t="s">
        <v>363</v>
      </c>
      <c r="J84" s="23"/>
      <c r="K84" s="23"/>
      <c r="L84" s="23"/>
      <c r="M84" s="23"/>
      <c r="N84" s="10" t="s">
        <v>978</v>
      </c>
      <c r="O84" s="10" t="s">
        <v>979</v>
      </c>
      <c r="P84" s="10" t="s">
        <v>338</v>
      </c>
      <c r="Q84" s="10" t="s">
        <v>338</v>
      </c>
      <c r="R84" s="11" t="s">
        <v>1651</v>
      </c>
      <c r="S84" s="11" t="s">
        <v>1651</v>
      </c>
      <c r="T84" s="11" t="s">
        <v>1653</v>
      </c>
      <c r="U84" s="81"/>
      <c r="V84" s="60"/>
      <c r="W84" s="60"/>
      <c r="X84" s="60"/>
      <c r="Y84" s="60"/>
      <c r="Z84" s="60"/>
      <c r="AB84" s="60"/>
    </row>
    <row r="85" spans="1:30" ht="69" x14ac:dyDescent="0.35">
      <c r="A85" s="124" t="s">
        <v>1724</v>
      </c>
      <c r="B85" s="87" t="s">
        <v>35</v>
      </c>
      <c r="C85" s="63" t="s">
        <v>43</v>
      </c>
      <c r="D85" s="20" t="s">
        <v>3</v>
      </c>
      <c r="E85" s="21" t="s">
        <v>1639</v>
      </c>
      <c r="F85" s="22" t="s">
        <v>519</v>
      </c>
      <c r="G85" s="58" t="s">
        <v>1765</v>
      </c>
      <c r="H85" s="23" t="s">
        <v>5</v>
      </c>
      <c r="I85" s="52" t="s">
        <v>359</v>
      </c>
      <c r="J85" s="23"/>
      <c r="K85" s="23"/>
      <c r="L85" s="23"/>
      <c r="M85" s="29"/>
      <c r="N85" s="10" t="s">
        <v>94</v>
      </c>
      <c r="O85" s="10" t="s">
        <v>29</v>
      </c>
      <c r="P85" s="10" t="s">
        <v>94</v>
      </c>
      <c r="Q85" s="10" t="s">
        <v>29</v>
      </c>
      <c r="R85" s="11" t="s">
        <v>1652</v>
      </c>
      <c r="S85" s="11" t="s">
        <v>1651</v>
      </c>
      <c r="T85" s="11" t="s">
        <v>1653</v>
      </c>
      <c r="U85" s="81"/>
      <c r="V85" s="60"/>
      <c r="W85" s="89" t="s">
        <v>1416</v>
      </c>
      <c r="X85" s="60"/>
      <c r="Y85" s="60"/>
      <c r="Z85" s="60"/>
      <c r="AB85" s="60"/>
      <c r="AD85" s="122" t="s">
        <v>1695</v>
      </c>
    </row>
    <row r="86" spans="1:30" ht="46" x14ac:dyDescent="0.35">
      <c r="B86" s="87" t="s">
        <v>831</v>
      </c>
      <c r="C86" s="63" t="s">
        <v>96</v>
      </c>
      <c r="D86" s="20" t="s">
        <v>3</v>
      </c>
      <c r="E86" s="21" t="s">
        <v>1640</v>
      </c>
      <c r="F86" s="22" t="s">
        <v>1592</v>
      </c>
      <c r="G86" s="58" t="s">
        <v>1880</v>
      </c>
      <c r="H86" s="23" t="s">
        <v>5</v>
      </c>
      <c r="I86" s="52" t="s">
        <v>359</v>
      </c>
      <c r="J86" s="23"/>
      <c r="K86" s="23"/>
      <c r="L86" s="23"/>
      <c r="M86" s="29"/>
      <c r="N86" s="10" t="s">
        <v>94</v>
      </c>
      <c r="O86" s="10" t="s">
        <v>975</v>
      </c>
      <c r="P86" s="10" t="s">
        <v>94</v>
      </c>
      <c r="Q86" s="10" t="s">
        <v>985</v>
      </c>
      <c r="R86" s="11" t="s">
        <v>1652</v>
      </c>
      <c r="S86" s="11" t="s">
        <v>1651</v>
      </c>
      <c r="T86" s="11"/>
      <c r="U86" s="81"/>
      <c r="V86" s="60"/>
      <c r="W86" s="60"/>
      <c r="X86" s="60"/>
      <c r="Y86" s="60"/>
      <c r="Z86" s="60"/>
      <c r="AB86" s="60"/>
      <c r="AD86" s="122" t="s">
        <v>1696</v>
      </c>
    </row>
    <row r="87" spans="1:30" ht="58" x14ac:dyDescent="0.35">
      <c r="B87" s="60"/>
      <c r="C87" s="63" t="s">
        <v>48</v>
      </c>
      <c r="D87" s="20" t="s">
        <v>3</v>
      </c>
      <c r="E87" s="21" t="s">
        <v>1641</v>
      </c>
      <c r="F87" s="22" t="s">
        <v>1746</v>
      </c>
      <c r="G87" s="58" t="s">
        <v>1745</v>
      </c>
      <c r="H87" s="23" t="s">
        <v>5</v>
      </c>
      <c r="I87" s="52" t="s">
        <v>359</v>
      </c>
      <c r="J87" s="23" t="s">
        <v>1747</v>
      </c>
      <c r="K87" s="23" t="s">
        <v>1747</v>
      </c>
      <c r="L87" s="23" t="s">
        <v>1747</v>
      </c>
      <c r="M87" s="23" t="s">
        <v>1747</v>
      </c>
      <c r="N87" s="10" t="s">
        <v>94</v>
      </c>
      <c r="O87" s="10" t="s">
        <v>94</v>
      </c>
      <c r="P87" s="10" t="s">
        <v>94</v>
      </c>
      <c r="Q87" s="10" t="s">
        <v>94</v>
      </c>
      <c r="R87" s="11" t="s">
        <v>1682</v>
      </c>
      <c r="S87" s="11" t="s">
        <v>1651</v>
      </c>
      <c r="T87" s="11"/>
      <c r="U87" s="81"/>
      <c r="V87" s="60"/>
      <c r="W87" s="104"/>
      <c r="X87" s="60"/>
      <c r="Y87" s="60"/>
      <c r="Z87" s="60"/>
      <c r="AB87" s="60"/>
      <c r="AD87" s="122" t="s">
        <v>1748</v>
      </c>
    </row>
    <row r="88" spans="1:30" ht="46" x14ac:dyDescent="0.35">
      <c r="B88" s="60" t="s">
        <v>831</v>
      </c>
      <c r="C88" s="63" t="s">
        <v>96</v>
      </c>
      <c r="D88" s="20" t="s">
        <v>3</v>
      </c>
      <c r="E88" s="21" t="s">
        <v>1642</v>
      </c>
      <c r="F88" s="22" t="s">
        <v>418</v>
      </c>
      <c r="G88" s="23" t="str">
        <f>"Automatically trigger workflow for new project activation in PSA (or project updates if this is an amendment to an existing project scope). See step "&amp;E106&amp;" for project activation steps"</f>
        <v>Automatically trigger workflow for new project activation in PSA (or project updates if this is an amendment to an existing project scope). See step 1.3 for project activation steps</v>
      </c>
      <c r="H88" s="23" t="s">
        <v>5</v>
      </c>
      <c r="I88" s="52" t="s">
        <v>361</v>
      </c>
      <c r="J88" s="23"/>
      <c r="K88" s="23"/>
      <c r="L88" s="23"/>
      <c r="M88" s="29"/>
      <c r="N88" s="10" t="s">
        <v>982</v>
      </c>
      <c r="O88" s="10" t="s">
        <v>975</v>
      </c>
      <c r="P88" s="10" t="s">
        <v>982</v>
      </c>
      <c r="Q88" s="10" t="s">
        <v>975</v>
      </c>
      <c r="R88" s="11" t="s">
        <v>1651</v>
      </c>
      <c r="S88" s="11" t="s">
        <v>534</v>
      </c>
      <c r="T88" s="11"/>
      <c r="U88" s="81"/>
      <c r="V88" s="60"/>
      <c r="W88" s="60"/>
      <c r="X88" s="60"/>
      <c r="Y88" s="60"/>
      <c r="Z88" s="60"/>
      <c r="AB88" s="60"/>
    </row>
    <row r="89" spans="1:30" ht="46" x14ac:dyDescent="0.35">
      <c r="A89" s="123" t="s">
        <v>1720</v>
      </c>
      <c r="B89" s="60" t="s">
        <v>1758</v>
      </c>
      <c r="C89" s="63" t="s">
        <v>1777</v>
      </c>
      <c r="D89" s="20" t="s">
        <v>3</v>
      </c>
      <c r="E89" s="21" t="s">
        <v>1763</v>
      </c>
      <c r="F89" s="22" t="s">
        <v>1952</v>
      </c>
      <c r="G89" s="58" t="s">
        <v>1764</v>
      </c>
      <c r="H89" s="109" t="str">
        <f>"Decision 
If yes, proceed to step "&amp;E112&amp;" 
If no, proceed to "&amp;E90&amp;""</f>
        <v>Decision 
If yes, proceed to step 1.3.6 
If no, proceed to 1.2.6</v>
      </c>
      <c r="I89" s="52" t="s">
        <v>361</v>
      </c>
      <c r="J89" s="23"/>
      <c r="K89" s="23"/>
      <c r="L89" s="23"/>
      <c r="M89" s="23"/>
      <c r="N89" s="10"/>
      <c r="O89" s="10"/>
      <c r="P89" s="10"/>
      <c r="Q89" s="10"/>
      <c r="R89" s="11" t="s">
        <v>1682</v>
      </c>
      <c r="S89" s="11" t="s">
        <v>1651</v>
      </c>
      <c r="T89" s="11"/>
      <c r="U89" s="81"/>
      <c r="V89" s="60"/>
      <c r="W89" s="104"/>
      <c r="X89" s="60"/>
      <c r="Y89" s="60"/>
      <c r="Z89" s="60"/>
      <c r="AB89" s="60"/>
    </row>
    <row r="90" spans="1:30" ht="57.5" x14ac:dyDescent="0.35">
      <c r="B90" s="60"/>
      <c r="C90" s="63" t="s">
        <v>446</v>
      </c>
      <c r="D90" s="16" t="s">
        <v>2</v>
      </c>
      <c r="E90" s="17" t="s">
        <v>90</v>
      </c>
      <c r="F90" s="18" t="s">
        <v>77</v>
      </c>
      <c r="G90" s="56" t="s">
        <v>78</v>
      </c>
      <c r="H90" s="19" t="s">
        <v>5</v>
      </c>
      <c r="I90" s="51"/>
      <c r="J90" s="56" t="s">
        <v>637</v>
      </c>
      <c r="K90" s="56" t="s">
        <v>636</v>
      </c>
      <c r="L90" s="56" t="s">
        <v>638</v>
      </c>
      <c r="M90" s="56" t="s">
        <v>639</v>
      </c>
      <c r="N90" s="10" t="s">
        <v>982</v>
      </c>
      <c r="O90" s="10" t="s">
        <v>29</v>
      </c>
      <c r="P90" s="10" t="s">
        <v>982</v>
      </c>
      <c r="Q90" s="10" t="s">
        <v>29</v>
      </c>
      <c r="R90" s="11" t="s">
        <v>1652</v>
      </c>
      <c r="S90" s="11" t="s">
        <v>1651</v>
      </c>
      <c r="T90" s="11"/>
      <c r="U90" s="81"/>
      <c r="V90" s="60"/>
      <c r="W90" s="60"/>
      <c r="X90" s="60"/>
      <c r="Y90" s="60"/>
      <c r="Z90" s="60"/>
      <c r="AB90" s="60"/>
    </row>
    <row r="91" spans="1:30" ht="46" x14ac:dyDescent="0.35">
      <c r="B91" s="60"/>
      <c r="C91" s="63" t="s">
        <v>80</v>
      </c>
      <c r="D91" s="20" t="s">
        <v>3</v>
      </c>
      <c r="E91" s="21" t="s">
        <v>450</v>
      </c>
      <c r="F91" s="22" t="s">
        <v>448</v>
      </c>
      <c r="G91" s="23" t="s">
        <v>449</v>
      </c>
      <c r="H91" s="109" t="str">
        <f>"Decision 
If yes, proceed to step "&amp;E92&amp;" 
If no, proceed to "&amp;E98&amp;""</f>
        <v>Decision 
If yes, proceed to step 1.2.6.2 
If no, proceed to 1.2.7</v>
      </c>
      <c r="I91" s="52" t="s">
        <v>363</v>
      </c>
      <c r="J91" s="23"/>
      <c r="K91" s="23"/>
      <c r="L91" s="23"/>
      <c r="M91" s="29"/>
      <c r="N91" s="10" t="s">
        <v>338</v>
      </c>
      <c r="O91" s="10" t="s">
        <v>979</v>
      </c>
      <c r="P91" s="10" t="s">
        <v>338</v>
      </c>
      <c r="Q91" s="10" t="s">
        <v>338</v>
      </c>
      <c r="R91" s="11" t="s">
        <v>1652</v>
      </c>
      <c r="S91" s="11" t="s">
        <v>1651</v>
      </c>
      <c r="T91" s="11"/>
      <c r="U91" s="81"/>
      <c r="V91" s="60"/>
      <c r="W91" s="60"/>
      <c r="X91" s="60"/>
      <c r="Y91" s="60"/>
      <c r="Z91" s="60"/>
      <c r="AB91" s="60"/>
    </row>
    <row r="92" spans="1:30" ht="46" x14ac:dyDescent="0.35">
      <c r="B92" s="87" t="s">
        <v>35</v>
      </c>
      <c r="C92" s="63" t="s">
        <v>80</v>
      </c>
      <c r="D92" s="20" t="s">
        <v>3</v>
      </c>
      <c r="E92" s="21" t="s">
        <v>460</v>
      </c>
      <c r="F92" s="22" t="s">
        <v>82</v>
      </c>
      <c r="G92" s="23" t="s">
        <v>1045</v>
      </c>
      <c r="H92" s="23" t="s">
        <v>5</v>
      </c>
      <c r="I92" s="52" t="s">
        <v>359</v>
      </c>
      <c r="J92" s="23"/>
      <c r="K92" s="23"/>
      <c r="L92" s="23"/>
      <c r="M92" s="29"/>
      <c r="N92" s="10" t="s">
        <v>982</v>
      </c>
      <c r="O92" s="10" t="s">
        <v>29</v>
      </c>
      <c r="P92" s="10" t="s">
        <v>982</v>
      </c>
      <c r="Q92" s="10" t="s">
        <v>29</v>
      </c>
      <c r="R92" s="11" t="s">
        <v>1652</v>
      </c>
      <c r="S92" s="11" t="s">
        <v>1651</v>
      </c>
      <c r="T92" s="11"/>
      <c r="U92" s="81"/>
      <c r="V92" s="60"/>
      <c r="W92" s="60"/>
      <c r="X92" s="60"/>
      <c r="Y92" s="60"/>
      <c r="Z92" s="60"/>
      <c r="AB92" s="60"/>
    </row>
    <row r="93" spans="1:30" ht="46" x14ac:dyDescent="0.35">
      <c r="B93" s="87" t="s">
        <v>35</v>
      </c>
      <c r="C93" s="63" t="s">
        <v>445</v>
      </c>
      <c r="D93" s="20" t="s">
        <v>3</v>
      </c>
      <c r="E93" s="21" t="s">
        <v>461</v>
      </c>
      <c r="F93" s="22" t="s">
        <v>443</v>
      </c>
      <c r="G93" s="23" t="s">
        <v>1697</v>
      </c>
      <c r="H93" s="23" t="s">
        <v>5</v>
      </c>
      <c r="I93" s="52" t="s">
        <v>359</v>
      </c>
      <c r="J93" s="23"/>
      <c r="K93" s="23"/>
      <c r="L93" s="23"/>
      <c r="M93" s="29"/>
      <c r="N93" s="10"/>
      <c r="O93" s="10"/>
      <c r="P93" s="10"/>
      <c r="Q93" s="10"/>
      <c r="R93" s="11" t="s">
        <v>1652</v>
      </c>
      <c r="S93" s="11" t="s">
        <v>1651</v>
      </c>
      <c r="T93" s="11"/>
      <c r="U93" s="81"/>
      <c r="V93" s="60"/>
      <c r="W93" s="60"/>
      <c r="X93" s="60"/>
      <c r="Y93" s="60"/>
      <c r="Z93" s="60"/>
      <c r="AB93" s="60"/>
    </row>
    <row r="94" spans="1:30" ht="69" x14ac:dyDescent="0.35">
      <c r="B94" s="87" t="s">
        <v>35</v>
      </c>
      <c r="C94" s="63" t="s">
        <v>445</v>
      </c>
      <c r="D94" s="20" t="s">
        <v>3</v>
      </c>
      <c r="E94" s="21" t="s">
        <v>462</v>
      </c>
      <c r="F94" s="22" t="s">
        <v>427</v>
      </c>
      <c r="G94" s="23" t="s">
        <v>1881</v>
      </c>
      <c r="H94" s="23" t="s">
        <v>5</v>
      </c>
      <c r="I94" s="52" t="s">
        <v>359</v>
      </c>
      <c r="J94" s="23"/>
      <c r="K94" s="23"/>
      <c r="L94" s="23"/>
      <c r="M94" s="29"/>
      <c r="N94" s="10"/>
      <c r="O94" s="10"/>
      <c r="P94" s="10"/>
      <c r="Q94" s="10"/>
      <c r="R94" s="11" t="s">
        <v>1652</v>
      </c>
      <c r="S94" s="11" t="s">
        <v>1651</v>
      </c>
      <c r="T94" s="11"/>
      <c r="U94" s="81"/>
      <c r="V94" s="60"/>
      <c r="W94" s="60"/>
      <c r="X94" s="60"/>
      <c r="Y94" s="60"/>
      <c r="Z94" s="60"/>
      <c r="AB94" s="60"/>
    </row>
    <row r="95" spans="1:30" ht="34.5" x14ac:dyDescent="0.35">
      <c r="B95" s="87" t="s">
        <v>35</v>
      </c>
      <c r="C95" s="63" t="s">
        <v>445</v>
      </c>
      <c r="D95" s="20" t="s">
        <v>3</v>
      </c>
      <c r="E95" s="21" t="s">
        <v>463</v>
      </c>
      <c r="F95" s="22" t="s">
        <v>84</v>
      </c>
      <c r="G95" s="23" t="s">
        <v>1699</v>
      </c>
      <c r="H95" s="23" t="s">
        <v>5</v>
      </c>
      <c r="I95" s="52" t="s">
        <v>359</v>
      </c>
      <c r="J95" s="29"/>
      <c r="K95" s="29"/>
      <c r="L95" s="29"/>
      <c r="M95" s="29"/>
      <c r="N95" s="10" t="s">
        <v>94</v>
      </c>
      <c r="O95" s="10" t="s">
        <v>29</v>
      </c>
      <c r="P95" s="10" t="s">
        <v>94</v>
      </c>
      <c r="Q95" s="10" t="s">
        <v>29</v>
      </c>
      <c r="R95" s="11" t="s">
        <v>1698</v>
      </c>
      <c r="S95" s="11" t="s">
        <v>79</v>
      </c>
      <c r="T95" s="11" t="s">
        <v>1651</v>
      </c>
      <c r="U95" s="81"/>
      <c r="V95" s="60"/>
      <c r="W95" s="60"/>
      <c r="X95" s="60"/>
      <c r="Y95" s="60"/>
      <c r="Z95" s="60"/>
      <c r="AB95" s="60"/>
    </row>
    <row r="96" spans="1:30" ht="57.5" x14ac:dyDescent="0.35">
      <c r="B96" s="87" t="s">
        <v>35</v>
      </c>
      <c r="C96" s="63" t="s">
        <v>445</v>
      </c>
      <c r="D96" s="20" t="s">
        <v>3</v>
      </c>
      <c r="E96" s="21" t="s">
        <v>464</v>
      </c>
      <c r="F96" s="22" t="s">
        <v>86</v>
      </c>
      <c r="G96" s="58" t="s">
        <v>1749</v>
      </c>
      <c r="H96" s="58" t="str">
        <f>"Decision 
If yes, proceed to step "&amp;E98&amp;" 
If no, proceed to "&amp;E97&amp;""</f>
        <v>Decision 
If yes, proceed to step 1.2.7 
If no, proceed to 1.2.6.7</v>
      </c>
      <c r="I96" s="52" t="s">
        <v>359</v>
      </c>
      <c r="J96" s="23"/>
      <c r="K96" s="23"/>
      <c r="L96" s="23"/>
      <c r="M96" s="29"/>
      <c r="N96" s="10" t="s">
        <v>94</v>
      </c>
      <c r="O96" s="10" t="s">
        <v>29</v>
      </c>
      <c r="P96" s="10" t="s">
        <v>94</v>
      </c>
      <c r="Q96" s="10" t="s">
        <v>29</v>
      </c>
      <c r="R96" s="11" t="s">
        <v>1698</v>
      </c>
      <c r="S96" s="11" t="s">
        <v>79</v>
      </c>
      <c r="T96" s="11" t="s">
        <v>1651</v>
      </c>
      <c r="U96" s="81"/>
      <c r="V96" s="103" t="s">
        <v>1057</v>
      </c>
      <c r="W96" s="60"/>
      <c r="X96" s="60"/>
      <c r="Y96" s="60"/>
      <c r="Z96" s="60"/>
      <c r="AB96" s="60"/>
    </row>
    <row r="97" spans="1:30" ht="34.5" x14ac:dyDescent="0.35">
      <c r="B97" s="87"/>
      <c r="C97" s="63" t="s">
        <v>445</v>
      </c>
      <c r="D97" s="20" t="s">
        <v>3</v>
      </c>
      <c r="E97" s="21" t="s">
        <v>466</v>
      </c>
      <c r="F97" s="22" t="s">
        <v>428</v>
      </c>
      <c r="G97" s="58" t="s">
        <v>1750</v>
      </c>
      <c r="H97" s="23" t="s">
        <v>5</v>
      </c>
      <c r="I97" s="52" t="s">
        <v>363</v>
      </c>
      <c r="J97" s="23"/>
      <c r="K97" s="23"/>
      <c r="L97" s="23"/>
      <c r="M97" s="29"/>
      <c r="N97" s="10" t="s">
        <v>982</v>
      </c>
      <c r="O97" s="10" t="s">
        <v>29</v>
      </c>
      <c r="P97" s="10" t="s">
        <v>982</v>
      </c>
      <c r="Q97" s="10" t="s">
        <v>29</v>
      </c>
      <c r="R97" s="11" t="s">
        <v>1698</v>
      </c>
      <c r="S97" s="11" t="s">
        <v>1651</v>
      </c>
      <c r="T97" s="33"/>
      <c r="U97" s="81"/>
      <c r="V97" s="60"/>
      <c r="W97" s="60"/>
      <c r="X97" s="60"/>
      <c r="Y97" s="60"/>
      <c r="Z97" s="60"/>
      <c r="AB97" s="60"/>
    </row>
    <row r="98" spans="1:30" ht="69" x14ac:dyDescent="0.35">
      <c r="B98" s="60"/>
      <c r="C98" s="63" t="s">
        <v>446</v>
      </c>
      <c r="D98" s="16" t="s">
        <v>2</v>
      </c>
      <c r="E98" s="17" t="s">
        <v>1643</v>
      </c>
      <c r="F98" s="18" t="s">
        <v>91</v>
      </c>
      <c r="G98" s="56" t="s">
        <v>447</v>
      </c>
      <c r="H98" s="19" t="s">
        <v>5</v>
      </c>
      <c r="I98" s="51"/>
      <c r="J98" s="56" t="s">
        <v>641</v>
      </c>
      <c r="K98" s="56" t="s">
        <v>640</v>
      </c>
      <c r="L98" s="56" t="s">
        <v>642</v>
      </c>
      <c r="M98" s="56" t="s">
        <v>392</v>
      </c>
      <c r="N98" s="10" t="s">
        <v>94</v>
      </c>
      <c r="O98" s="10" t="s">
        <v>29</v>
      </c>
      <c r="P98" s="10" t="s">
        <v>94</v>
      </c>
      <c r="Q98" s="10" t="s">
        <v>29</v>
      </c>
      <c r="R98" s="11" t="s">
        <v>1698</v>
      </c>
      <c r="S98" s="11" t="s">
        <v>79</v>
      </c>
      <c r="T98" s="11"/>
      <c r="U98" s="81"/>
      <c r="V98" s="60"/>
      <c r="W98" s="60"/>
      <c r="X98" s="60"/>
      <c r="Y98" s="60"/>
      <c r="Z98" s="60"/>
      <c r="AB98" s="60"/>
    </row>
    <row r="99" spans="1:30" ht="34.5" x14ac:dyDescent="0.35">
      <c r="B99" s="87" t="s">
        <v>35</v>
      </c>
      <c r="C99" s="63" t="s">
        <v>43</v>
      </c>
      <c r="D99" s="20" t="s">
        <v>3</v>
      </c>
      <c r="E99" s="21" t="s">
        <v>1644</v>
      </c>
      <c r="F99" s="22" t="s">
        <v>452</v>
      </c>
      <c r="G99" s="58" t="s">
        <v>451</v>
      </c>
      <c r="H99" s="23" t="s">
        <v>5</v>
      </c>
      <c r="I99" s="52" t="s">
        <v>359</v>
      </c>
      <c r="J99" s="58"/>
      <c r="K99" s="58"/>
      <c r="L99" s="58"/>
      <c r="M99" s="29"/>
      <c r="N99" s="10" t="s">
        <v>94</v>
      </c>
      <c r="O99" s="10" t="s">
        <v>975</v>
      </c>
      <c r="P99" s="10" t="s">
        <v>94</v>
      </c>
      <c r="Q99" s="10" t="s">
        <v>975</v>
      </c>
      <c r="R99" s="11" t="s">
        <v>1698</v>
      </c>
      <c r="S99" s="11" t="s">
        <v>79</v>
      </c>
      <c r="T99" s="11"/>
      <c r="U99" s="81"/>
      <c r="V99" s="60"/>
      <c r="W99" s="60"/>
      <c r="X99" s="60"/>
      <c r="Y99" s="60"/>
      <c r="Z99" s="60"/>
      <c r="AB99" s="60"/>
    </row>
    <row r="100" spans="1:30" ht="34.5" x14ac:dyDescent="0.35">
      <c r="B100" s="87" t="s">
        <v>35</v>
      </c>
      <c r="C100" s="63" t="s">
        <v>43</v>
      </c>
      <c r="D100" s="20" t="s">
        <v>3</v>
      </c>
      <c r="E100" s="21" t="s">
        <v>1645</v>
      </c>
      <c r="F100" s="22" t="s">
        <v>453</v>
      </c>
      <c r="G100" s="58" t="s">
        <v>1700</v>
      </c>
      <c r="H100" s="23" t="s">
        <v>5</v>
      </c>
      <c r="I100" s="52" t="s">
        <v>359</v>
      </c>
      <c r="J100" s="58"/>
      <c r="K100" s="58"/>
      <c r="L100" s="58"/>
      <c r="M100" s="29"/>
      <c r="N100" s="10" t="s">
        <v>94</v>
      </c>
      <c r="O100" s="10" t="s">
        <v>975</v>
      </c>
      <c r="P100" s="10" t="s">
        <v>94</v>
      </c>
      <c r="Q100" s="10" t="s">
        <v>975</v>
      </c>
      <c r="R100" s="11" t="s">
        <v>1698</v>
      </c>
      <c r="S100" s="11" t="s">
        <v>79</v>
      </c>
      <c r="T100" s="11"/>
      <c r="U100" s="81"/>
      <c r="V100" s="60"/>
      <c r="W100" s="60"/>
      <c r="X100" s="60"/>
      <c r="Y100" s="60"/>
      <c r="Z100" s="60"/>
      <c r="AB100" s="60"/>
    </row>
    <row r="101" spans="1:30" ht="34.5" x14ac:dyDescent="0.35">
      <c r="B101" s="87" t="s">
        <v>35</v>
      </c>
      <c r="C101" s="63" t="s">
        <v>43</v>
      </c>
      <c r="D101" s="20" t="s">
        <v>3</v>
      </c>
      <c r="E101" s="21" t="s">
        <v>1646</v>
      </c>
      <c r="F101" s="22" t="s">
        <v>454</v>
      </c>
      <c r="G101" s="58" t="s">
        <v>465</v>
      </c>
      <c r="H101" s="23" t="s">
        <v>5</v>
      </c>
      <c r="I101" s="52" t="s">
        <v>359</v>
      </c>
      <c r="J101" s="58"/>
      <c r="K101" s="58"/>
      <c r="L101" s="58"/>
      <c r="M101" s="29"/>
      <c r="N101" s="10" t="s">
        <v>94</v>
      </c>
      <c r="O101" s="10" t="s">
        <v>137</v>
      </c>
      <c r="P101" s="10" t="s">
        <v>94</v>
      </c>
      <c r="Q101" s="10" t="s">
        <v>975</v>
      </c>
      <c r="R101" s="11" t="s">
        <v>1698</v>
      </c>
      <c r="S101" s="11" t="s">
        <v>79</v>
      </c>
      <c r="T101" s="11"/>
      <c r="U101" s="81"/>
      <c r="V101" s="60"/>
      <c r="W101" s="60"/>
      <c r="X101" s="60"/>
      <c r="Y101" s="60"/>
      <c r="Z101" s="60"/>
      <c r="AB101" s="60"/>
    </row>
    <row r="102" spans="1:30" ht="34.5" x14ac:dyDescent="0.35">
      <c r="B102" s="87" t="s">
        <v>35</v>
      </c>
      <c r="C102" s="63" t="s">
        <v>43</v>
      </c>
      <c r="D102" s="20" t="s">
        <v>3</v>
      </c>
      <c r="E102" s="21" t="s">
        <v>1647</v>
      </c>
      <c r="F102" s="22" t="s">
        <v>455</v>
      </c>
      <c r="G102" s="58" t="s">
        <v>1701</v>
      </c>
      <c r="H102" s="23" t="s">
        <v>5</v>
      </c>
      <c r="I102" s="52" t="s">
        <v>359</v>
      </c>
      <c r="J102" s="58"/>
      <c r="K102" s="58"/>
      <c r="L102" s="58"/>
      <c r="M102" s="29"/>
      <c r="N102" s="10" t="s">
        <v>94</v>
      </c>
      <c r="O102" s="10" t="s">
        <v>984</v>
      </c>
      <c r="P102" s="10" t="s">
        <v>94</v>
      </c>
      <c r="Q102" s="10" t="s">
        <v>984</v>
      </c>
      <c r="R102" s="11" t="s">
        <v>1698</v>
      </c>
      <c r="S102" s="11" t="s">
        <v>79</v>
      </c>
      <c r="T102" s="11"/>
      <c r="U102" s="81"/>
      <c r="V102" s="60"/>
      <c r="W102" s="60"/>
      <c r="X102" s="60"/>
      <c r="Y102" s="60"/>
      <c r="Z102" s="60"/>
      <c r="AB102" s="60"/>
    </row>
    <row r="103" spans="1:30" ht="34.5" x14ac:dyDescent="0.35">
      <c r="B103" s="87" t="s">
        <v>35</v>
      </c>
      <c r="C103" s="63" t="s">
        <v>43</v>
      </c>
      <c r="D103" s="20" t="s">
        <v>3</v>
      </c>
      <c r="E103" s="21" t="s">
        <v>1648</v>
      </c>
      <c r="F103" s="22" t="s">
        <v>456</v>
      </c>
      <c r="G103" s="58" t="s">
        <v>457</v>
      </c>
      <c r="H103" s="23" t="s">
        <v>5</v>
      </c>
      <c r="I103" s="52" t="s">
        <v>359</v>
      </c>
      <c r="J103" s="58"/>
      <c r="K103" s="58"/>
      <c r="L103" s="58"/>
      <c r="M103" s="29"/>
      <c r="N103" s="10" t="s">
        <v>94</v>
      </c>
      <c r="O103" s="10" t="s">
        <v>94</v>
      </c>
      <c r="P103" s="10" t="s">
        <v>94</v>
      </c>
      <c r="Q103" s="10" t="s">
        <v>94</v>
      </c>
      <c r="R103" s="11" t="s">
        <v>1698</v>
      </c>
      <c r="S103" s="11" t="s">
        <v>79</v>
      </c>
      <c r="T103" s="11"/>
      <c r="U103" s="81"/>
      <c r="V103" s="60"/>
      <c r="W103" s="60"/>
      <c r="X103" s="60"/>
      <c r="Y103" s="60"/>
      <c r="Z103" s="60"/>
      <c r="AB103" s="60"/>
    </row>
    <row r="104" spans="1:30" ht="34.5" x14ac:dyDescent="0.35">
      <c r="B104" s="87" t="s">
        <v>35</v>
      </c>
      <c r="C104" s="63" t="s">
        <v>43</v>
      </c>
      <c r="D104" s="20" t="s">
        <v>3</v>
      </c>
      <c r="E104" s="21" t="s">
        <v>1649</v>
      </c>
      <c r="F104" s="22" t="s">
        <v>458</v>
      </c>
      <c r="G104" s="58" t="s">
        <v>459</v>
      </c>
      <c r="H104" s="23" t="s">
        <v>5</v>
      </c>
      <c r="I104" s="52" t="s">
        <v>359</v>
      </c>
      <c r="J104" s="58"/>
      <c r="K104" s="58"/>
      <c r="L104" s="58"/>
      <c r="M104" s="29"/>
      <c r="N104" s="10" t="s">
        <v>94</v>
      </c>
      <c r="O104" s="10" t="s">
        <v>94</v>
      </c>
      <c r="P104" s="10" t="s">
        <v>94</v>
      </c>
      <c r="Q104" s="10" t="s">
        <v>94</v>
      </c>
      <c r="R104" s="11" t="s">
        <v>1698</v>
      </c>
      <c r="S104" s="11" t="s">
        <v>79</v>
      </c>
      <c r="T104" s="11"/>
      <c r="U104" s="81"/>
      <c r="V104" s="60"/>
      <c r="W104" s="60"/>
      <c r="X104" s="60"/>
      <c r="Y104" s="60"/>
      <c r="Z104" s="60"/>
      <c r="AB104" s="60"/>
    </row>
    <row r="105" spans="1:30" ht="34.5" x14ac:dyDescent="0.35">
      <c r="B105" s="87"/>
      <c r="C105" s="63" t="s">
        <v>34</v>
      </c>
      <c r="D105" s="20" t="s">
        <v>3</v>
      </c>
      <c r="E105" s="21" t="s">
        <v>1650</v>
      </c>
      <c r="F105" s="22" t="s">
        <v>467</v>
      </c>
      <c r="G105" s="58" t="s">
        <v>468</v>
      </c>
      <c r="H105" s="23" t="s">
        <v>5</v>
      </c>
      <c r="I105" s="52" t="s">
        <v>363</v>
      </c>
      <c r="J105" s="58"/>
      <c r="K105" s="58"/>
      <c r="L105" s="58"/>
      <c r="M105" s="29"/>
      <c r="N105" s="10" t="s">
        <v>338</v>
      </c>
      <c r="O105" s="10" t="s">
        <v>972</v>
      </c>
      <c r="P105" s="10" t="s">
        <v>338</v>
      </c>
      <c r="Q105" s="10" t="s">
        <v>338</v>
      </c>
      <c r="R105" s="11" t="s">
        <v>1698</v>
      </c>
      <c r="S105" s="11" t="s">
        <v>79</v>
      </c>
      <c r="T105" s="11"/>
      <c r="U105" s="81"/>
      <c r="V105" s="60"/>
      <c r="W105" s="60"/>
      <c r="X105" s="60"/>
      <c r="Y105" s="60"/>
      <c r="Z105" s="60"/>
      <c r="AB105" s="60"/>
    </row>
    <row r="106" spans="1:30" ht="103.5" x14ac:dyDescent="0.35">
      <c r="B106" s="87" t="s">
        <v>831</v>
      </c>
      <c r="C106" s="63" t="s">
        <v>516</v>
      </c>
      <c r="D106" s="12" t="s">
        <v>1</v>
      </c>
      <c r="E106" s="13" t="s">
        <v>92</v>
      </c>
      <c r="F106" s="14" t="s">
        <v>93</v>
      </c>
      <c r="G106" s="15" t="s">
        <v>469</v>
      </c>
      <c r="H106" s="15" t="s">
        <v>5</v>
      </c>
      <c r="I106" s="50" t="s">
        <v>363</v>
      </c>
      <c r="J106" s="15" t="s">
        <v>644</v>
      </c>
      <c r="K106" s="15" t="s">
        <v>643</v>
      </c>
      <c r="L106" s="15" t="s">
        <v>645</v>
      </c>
      <c r="M106" s="15" t="s">
        <v>646</v>
      </c>
      <c r="N106" s="10" t="s">
        <v>1438</v>
      </c>
      <c r="O106" s="10" t="s">
        <v>95</v>
      </c>
      <c r="P106" s="10" t="s">
        <v>94</v>
      </c>
      <c r="Q106" s="10" t="s">
        <v>28</v>
      </c>
      <c r="R106" s="11" t="s">
        <v>1651</v>
      </c>
      <c r="S106" s="11" t="s">
        <v>1651</v>
      </c>
      <c r="T106" s="11"/>
      <c r="U106" s="81"/>
      <c r="V106" s="60"/>
      <c r="W106" s="114" t="s">
        <v>1656</v>
      </c>
      <c r="X106" s="60"/>
      <c r="Y106" s="60"/>
      <c r="Z106" s="60"/>
      <c r="AB106" s="60"/>
      <c r="AD106" s="122" t="s">
        <v>1702</v>
      </c>
    </row>
    <row r="107" spans="1:30" ht="57.5" x14ac:dyDescent="0.35">
      <c r="A107" s="124" t="s">
        <v>1770</v>
      </c>
      <c r="B107" s="60" t="s">
        <v>831</v>
      </c>
      <c r="C107" s="63" t="s">
        <v>96</v>
      </c>
      <c r="D107" s="16" t="s">
        <v>2</v>
      </c>
      <c r="E107" s="17" t="s">
        <v>97</v>
      </c>
      <c r="F107" s="18" t="s">
        <v>98</v>
      </c>
      <c r="G107" s="56" t="s">
        <v>1891</v>
      </c>
      <c r="H107" s="19" t="s">
        <v>5</v>
      </c>
      <c r="I107" s="51" t="s">
        <v>363</v>
      </c>
      <c r="J107" s="56" t="s">
        <v>1429</v>
      </c>
      <c r="K107" s="56" t="s">
        <v>647</v>
      </c>
      <c r="L107" s="56" t="s">
        <v>648</v>
      </c>
      <c r="M107" s="56" t="s">
        <v>649</v>
      </c>
      <c r="N107" s="10" t="s">
        <v>94</v>
      </c>
      <c r="O107" s="10" t="s">
        <v>975</v>
      </c>
      <c r="P107" s="10" t="s">
        <v>94</v>
      </c>
      <c r="Q107" s="10" t="s">
        <v>985</v>
      </c>
      <c r="R107" s="11" t="s">
        <v>1651</v>
      </c>
      <c r="S107" s="11" t="s">
        <v>1651</v>
      </c>
      <c r="T107" s="11"/>
      <c r="U107" s="81"/>
      <c r="V107" s="60"/>
      <c r="W107" s="89" t="s">
        <v>1417</v>
      </c>
      <c r="X107" s="60"/>
      <c r="Y107" s="60"/>
      <c r="Z107" s="60"/>
      <c r="AB107" s="60"/>
    </row>
    <row r="108" spans="1:30" ht="80.5" x14ac:dyDescent="0.35">
      <c r="B108" s="60" t="s">
        <v>831</v>
      </c>
      <c r="C108" s="63" t="s">
        <v>96</v>
      </c>
      <c r="D108" s="16" t="s">
        <v>2</v>
      </c>
      <c r="E108" s="17" t="s">
        <v>99</v>
      </c>
      <c r="F108" s="18" t="s">
        <v>100</v>
      </c>
      <c r="G108" s="56" t="s">
        <v>470</v>
      </c>
      <c r="H108" s="19" t="s">
        <v>5</v>
      </c>
      <c r="I108" s="51" t="s">
        <v>363</v>
      </c>
      <c r="J108" s="56" t="s">
        <v>1430</v>
      </c>
      <c r="K108" s="56" t="s">
        <v>650</v>
      </c>
      <c r="L108" s="56" t="s">
        <v>651</v>
      </c>
      <c r="M108" s="56" t="s">
        <v>652</v>
      </c>
      <c r="N108" s="10" t="s">
        <v>94</v>
      </c>
      <c r="O108" s="10" t="s">
        <v>975</v>
      </c>
      <c r="P108" s="10" t="s">
        <v>94</v>
      </c>
      <c r="Q108" s="10" t="s">
        <v>985</v>
      </c>
      <c r="R108" s="11" t="s">
        <v>1651</v>
      </c>
      <c r="S108" s="11" t="s">
        <v>1651</v>
      </c>
      <c r="T108" s="11"/>
      <c r="U108" s="81"/>
      <c r="V108" s="60"/>
      <c r="W108" s="92" t="s">
        <v>1418</v>
      </c>
      <c r="X108" s="60"/>
      <c r="Y108" s="60"/>
      <c r="Z108" s="60"/>
      <c r="AB108" s="60"/>
    </row>
    <row r="109" spans="1:30" ht="101.5" x14ac:dyDescent="0.35">
      <c r="A109" s="124" t="s">
        <v>1766</v>
      </c>
      <c r="B109" s="60" t="s">
        <v>831</v>
      </c>
      <c r="C109" s="63" t="s">
        <v>96</v>
      </c>
      <c r="D109" s="16" t="s">
        <v>2</v>
      </c>
      <c r="E109" s="17" t="s">
        <v>101</v>
      </c>
      <c r="F109" s="18" t="s">
        <v>102</v>
      </c>
      <c r="G109" s="56" t="s">
        <v>471</v>
      </c>
      <c r="H109" s="19" t="s">
        <v>5</v>
      </c>
      <c r="I109" s="51" t="s">
        <v>363</v>
      </c>
      <c r="J109" s="56" t="s">
        <v>1431</v>
      </c>
      <c r="K109" s="56" t="s">
        <v>653</v>
      </c>
      <c r="L109" s="56" t="s">
        <v>654</v>
      </c>
      <c r="M109" s="56" t="s">
        <v>400</v>
      </c>
      <c r="N109" s="10" t="s">
        <v>94</v>
      </c>
      <c r="O109" s="10" t="s">
        <v>984</v>
      </c>
      <c r="P109" s="10" t="s">
        <v>94</v>
      </c>
      <c r="Q109" s="10" t="s">
        <v>984</v>
      </c>
      <c r="R109" s="11" t="s">
        <v>1651</v>
      </c>
      <c r="S109" s="11" t="s">
        <v>1651</v>
      </c>
      <c r="T109" s="11" t="s">
        <v>534</v>
      </c>
      <c r="U109" s="81"/>
      <c r="V109" s="60"/>
      <c r="W109" s="117" t="s">
        <v>1666</v>
      </c>
      <c r="X109" s="60"/>
      <c r="Y109" s="60"/>
      <c r="Z109" s="60"/>
      <c r="AB109" s="60"/>
    </row>
    <row r="110" spans="1:30" ht="80.5" x14ac:dyDescent="0.35">
      <c r="B110" s="60" t="s">
        <v>831</v>
      </c>
      <c r="C110" s="63" t="s">
        <v>96</v>
      </c>
      <c r="D110" s="16" t="s">
        <v>2</v>
      </c>
      <c r="E110" s="17" t="s">
        <v>103</v>
      </c>
      <c r="F110" s="18" t="s">
        <v>104</v>
      </c>
      <c r="G110" s="56" t="s">
        <v>105</v>
      </c>
      <c r="H110" s="19" t="s">
        <v>5</v>
      </c>
      <c r="I110" s="51" t="s">
        <v>363</v>
      </c>
      <c r="J110" s="56" t="s">
        <v>656</v>
      </c>
      <c r="K110" s="56" t="s">
        <v>655</v>
      </c>
      <c r="L110" s="56" t="s">
        <v>657</v>
      </c>
      <c r="M110" s="56" t="s">
        <v>658</v>
      </c>
      <c r="N110" s="10" t="s">
        <v>94</v>
      </c>
      <c r="O110" s="10" t="s">
        <v>986</v>
      </c>
      <c r="P110" s="10" t="s">
        <v>94</v>
      </c>
      <c r="Q110" s="10" t="s">
        <v>984</v>
      </c>
      <c r="R110" s="11" t="s">
        <v>1651</v>
      </c>
      <c r="S110" s="11" t="s">
        <v>1651</v>
      </c>
      <c r="T110" s="11"/>
      <c r="U110" s="81"/>
      <c r="V110" s="60"/>
      <c r="W110" s="60"/>
      <c r="X110" s="60"/>
      <c r="Y110" s="60"/>
      <c r="Z110" s="60"/>
      <c r="AB110" s="60"/>
    </row>
    <row r="111" spans="1:30" ht="92" x14ac:dyDescent="0.35">
      <c r="B111" s="60" t="s">
        <v>831</v>
      </c>
      <c r="C111" s="63" t="s">
        <v>516</v>
      </c>
      <c r="D111" s="16" t="s">
        <v>2</v>
      </c>
      <c r="E111" s="17" t="s">
        <v>106</v>
      </c>
      <c r="F111" s="18" t="s">
        <v>107</v>
      </c>
      <c r="G111" s="56" t="s">
        <v>108</v>
      </c>
      <c r="H111" s="19" t="s">
        <v>5</v>
      </c>
      <c r="I111" s="51" t="s">
        <v>363</v>
      </c>
      <c r="J111" s="56" t="s">
        <v>660</v>
      </c>
      <c r="K111" s="56" t="s">
        <v>659</v>
      </c>
      <c r="L111" s="56" t="s">
        <v>661</v>
      </c>
      <c r="M111" s="56" t="s">
        <v>393</v>
      </c>
      <c r="N111" s="10" t="s">
        <v>94</v>
      </c>
      <c r="O111" s="10" t="s">
        <v>975</v>
      </c>
      <c r="P111" s="10" t="s">
        <v>94</v>
      </c>
      <c r="Q111" s="10" t="s">
        <v>975</v>
      </c>
      <c r="R111" s="11" t="s">
        <v>1651</v>
      </c>
      <c r="S111" s="11" t="s">
        <v>1651</v>
      </c>
      <c r="T111" s="11"/>
      <c r="U111" s="81"/>
      <c r="V111" s="60"/>
      <c r="W111" s="60"/>
      <c r="X111" s="60"/>
      <c r="Y111" s="60"/>
      <c r="Z111" s="60"/>
      <c r="AB111" s="60"/>
    </row>
    <row r="112" spans="1:30" ht="69" x14ac:dyDescent="0.35">
      <c r="A112" s="123" t="s">
        <v>1720</v>
      </c>
      <c r="B112" s="60"/>
      <c r="C112" s="63" t="s">
        <v>96</v>
      </c>
      <c r="D112" s="16" t="s">
        <v>2</v>
      </c>
      <c r="E112" s="17" t="s">
        <v>109</v>
      </c>
      <c r="F112" s="18" t="s">
        <v>1767</v>
      </c>
      <c r="G112" s="56" t="s">
        <v>1953</v>
      </c>
      <c r="H112" s="19" t="s">
        <v>5</v>
      </c>
      <c r="I112" s="51" t="s">
        <v>363</v>
      </c>
      <c r="J112" s="56"/>
      <c r="K112" s="56"/>
      <c r="L112" s="56"/>
      <c r="M112" s="56"/>
      <c r="N112" s="10"/>
      <c r="O112" s="10"/>
      <c r="P112" s="10"/>
      <c r="Q112" s="10"/>
      <c r="R112" s="11" t="s">
        <v>1651</v>
      </c>
      <c r="S112" s="11" t="s">
        <v>1651</v>
      </c>
      <c r="T112" s="11"/>
      <c r="U112" s="81"/>
      <c r="V112" s="60"/>
      <c r="W112" s="60"/>
      <c r="X112" s="60"/>
      <c r="Y112" s="60"/>
      <c r="Z112" s="60"/>
      <c r="AB112" s="60"/>
    </row>
    <row r="113" spans="1:31" ht="92" x14ac:dyDescent="0.35">
      <c r="A113" s="123" t="s">
        <v>1720</v>
      </c>
      <c r="B113" s="60" t="s">
        <v>831</v>
      </c>
      <c r="C113" s="63" t="s">
        <v>96</v>
      </c>
      <c r="D113" s="16" t="s">
        <v>2</v>
      </c>
      <c r="E113" s="17" t="s">
        <v>110</v>
      </c>
      <c r="F113" s="18" t="s">
        <v>1768</v>
      </c>
      <c r="G113" s="56" t="s">
        <v>1778</v>
      </c>
      <c r="H113" s="19" t="s">
        <v>5</v>
      </c>
      <c r="I113" s="51" t="s">
        <v>363</v>
      </c>
      <c r="J113" s="56" t="s">
        <v>663</v>
      </c>
      <c r="K113" s="56" t="s">
        <v>662</v>
      </c>
      <c r="L113" s="56" t="s">
        <v>664</v>
      </c>
      <c r="M113" s="56" t="s">
        <v>665</v>
      </c>
      <c r="N113" s="10" t="s">
        <v>94</v>
      </c>
      <c r="O113" s="10" t="s">
        <v>194</v>
      </c>
      <c r="P113" s="10" t="s">
        <v>94</v>
      </c>
      <c r="Q113" s="10" t="s">
        <v>94</v>
      </c>
      <c r="R113" s="11" t="s">
        <v>1651</v>
      </c>
      <c r="S113" s="11" t="s">
        <v>1651</v>
      </c>
      <c r="T113" s="11"/>
      <c r="U113" s="81"/>
      <c r="V113" s="60"/>
      <c r="W113" s="88" t="s">
        <v>1419</v>
      </c>
      <c r="X113" s="60"/>
      <c r="Y113" s="60"/>
      <c r="Z113" s="60"/>
      <c r="AB113" s="60"/>
    </row>
    <row r="114" spans="1:31" ht="43.5" x14ac:dyDescent="0.35">
      <c r="B114" s="60" t="s">
        <v>831</v>
      </c>
      <c r="C114" s="63" t="s">
        <v>96</v>
      </c>
      <c r="D114" s="16" t="s">
        <v>2</v>
      </c>
      <c r="E114" s="17" t="s">
        <v>113</v>
      </c>
      <c r="F114" s="18" t="s">
        <v>111</v>
      </c>
      <c r="G114" s="56" t="s">
        <v>112</v>
      </c>
      <c r="H114" s="19" t="s">
        <v>5</v>
      </c>
      <c r="I114" s="51" t="s">
        <v>363</v>
      </c>
      <c r="J114" s="56"/>
      <c r="K114" s="56"/>
      <c r="L114" s="56"/>
      <c r="M114" s="56"/>
      <c r="N114" s="10" t="s">
        <v>94</v>
      </c>
      <c r="O114" s="10" t="s">
        <v>984</v>
      </c>
      <c r="P114" s="10" t="s">
        <v>94</v>
      </c>
      <c r="Q114" s="10" t="s">
        <v>984</v>
      </c>
      <c r="R114" s="11" t="s">
        <v>1651</v>
      </c>
      <c r="S114" s="11" t="s">
        <v>1651</v>
      </c>
      <c r="T114" s="11"/>
      <c r="U114" s="81"/>
      <c r="V114" s="60"/>
      <c r="W114" s="88"/>
      <c r="X114" s="60"/>
      <c r="Y114" s="60"/>
      <c r="Z114" s="60"/>
      <c r="AB114" s="60"/>
    </row>
    <row r="115" spans="1:31" ht="72.5" x14ac:dyDescent="0.35">
      <c r="A115" s="124" t="s">
        <v>1814</v>
      </c>
      <c r="B115" s="60" t="s">
        <v>831</v>
      </c>
      <c r="C115" s="63" t="s">
        <v>96</v>
      </c>
      <c r="D115" s="16" t="s">
        <v>2</v>
      </c>
      <c r="E115" s="17" t="s">
        <v>1769</v>
      </c>
      <c r="F115" s="18" t="s">
        <v>114</v>
      </c>
      <c r="G115" s="56" t="s">
        <v>1813</v>
      </c>
      <c r="H115" s="19" t="s">
        <v>5</v>
      </c>
      <c r="I115" s="51" t="s">
        <v>363</v>
      </c>
      <c r="J115" s="56" t="s">
        <v>667</v>
      </c>
      <c r="K115" s="56" t="s">
        <v>666</v>
      </c>
      <c r="L115" s="56" t="s">
        <v>668</v>
      </c>
      <c r="M115" s="56" t="s">
        <v>669</v>
      </c>
      <c r="N115" s="10" t="s">
        <v>94</v>
      </c>
      <c r="O115" s="10" t="s">
        <v>975</v>
      </c>
      <c r="P115" s="10" t="s">
        <v>94</v>
      </c>
      <c r="Q115" s="10" t="s">
        <v>984</v>
      </c>
      <c r="R115" s="11" t="s">
        <v>1651</v>
      </c>
      <c r="S115" s="11" t="s">
        <v>534</v>
      </c>
      <c r="T115" s="11"/>
      <c r="U115" s="81"/>
      <c r="V115" s="60"/>
      <c r="W115" s="114" t="s">
        <v>1665</v>
      </c>
      <c r="X115" s="60"/>
      <c r="Y115" s="60"/>
      <c r="Z115" s="60"/>
      <c r="AB115" s="60"/>
    </row>
    <row r="116" spans="1:31" ht="57.5" x14ac:dyDescent="0.35">
      <c r="A116" s="124" t="s">
        <v>1780</v>
      </c>
      <c r="B116" s="60" t="s">
        <v>831</v>
      </c>
      <c r="C116" s="63" t="s">
        <v>96</v>
      </c>
      <c r="D116" s="20" t="s">
        <v>3</v>
      </c>
      <c r="E116" s="21" t="s">
        <v>1657</v>
      </c>
      <c r="F116" s="22" t="s">
        <v>1659</v>
      </c>
      <c r="G116" s="58" t="s">
        <v>1779</v>
      </c>
      <c r="H116" s="109" t="str">
        <f>"Decision 
If yes, proceed to step "&amp;E118&amp;" 
If no, proceed to "&amp;E117&amp;""</f>
        <v>Decision 
If yes, proceed to step 1.3.8.3 
If no, proceed to 1.3.8.2</v>
      </c>
      <c r="I116" s="52" t="s">
        <v>359</v>
      </c>
      <c r="J116" s="58"/>
      <c r="K116" s="58"/>
      <c r="L116" s="58"/>
      <c r="M116" s="29"/>
      <c r="N116" s="10" t="s">
        <v>94</v>
      </c>
      <c r="O116" s="10" t="s">
        <v>975</v>
      </c>
      <c r="P116" s="10" t="s">
        <v>94</v>
      </c>
      <c r="Q116" s="10" t="s">
        <v>984</v>
      </c>
      <c r="R116" s="11" t="s">
        <v>1651</v>
      </c>
      <c r="S116" s="11" t="s">
        <v>534</v>
      </c>
      <c r="T116" s="11"/>
      <c r="U116" s="81"/>
      <c r="V116" s="60"/>
      <c r="W116" s="60"/>
      <c r="X116" s="60"/>
      <c r="Y116" s="60"/>
      <c r="Z116" s="60"/>
      <c r="AB116" s="60"/>
      <c r="AD116" s="122" t="s">
        <v>1703</v>
      </c>
      <c r="AE116" s="122" t="s">
        <v>1705</v>
      </c>
    </row>
    <row r="117" spans="1:31" ht="43.5" x14ac:dyDescent="0.35">
      <c r="B117" s="60" t="s">
        <v>831</v>
      </c>
      <c r="C117" s="63" t="s">
        <v>96</v>
      </c>
      <c r="D117" s="20" t="s">
        <v>3</v>
      </c>
      <c r="E117" s="21" t="s">
        <v>1658</v>
      </c>
      <c r="F117" s="22" t="s">
        <v>1660</v>
      </c>
      <c r="G117" s="58" t="s">
        <v>1663</v>
      </c>
      <c r="H117" s="23" t="s">
        <v>5</v>
      </c>
      <c r="I117" s="52" t="s">
        <v>363</v>
      </c>
      <c r="J117" s="58"/>
      <c r="K117" s="58"/>
      <c r="L117" s="58"/>
      <c r="M117" s="29"/>
      <c r="N117" s="10" t="s">
        <v>94</v>
      </c>
      <c r="O117" s="10" t="s">
        <v>975</v>
      </c>
      <c r="P117" s="10" t="s">
        <v>94</v>
      </c>
      <c r="Q117" s="10" t="s">
        <v>984</v>
      </c>
      <c r="R117" s="11" t="s">
        <v>1651</v>
      </c>
      <c r="S117" s="11" t="s">
        <v>534</v>
      </c>
      <c r="T117" s="11"/>
      <c r="U117" s="81"/>
      <c r="V117" s="60"/>
      <c r="W117" s="60"/>
      <c r="X117" s="60"/>
      <c r="Y117" s="60"/>
      <c r="Z117" s="60"/>
      <c r="AB117" s="60"/>
    </row>
    <row r="118" spans="1:31" ht="43.5" x14ac:dyDescent="0.35">
      <c r="B118" s="60" t="s">
        <v>831</v>
      </c>
      <c r="C118" s="63" t="s">
        <v>96</v>
      </c>
      <c r="D118" s="20" t="s">
        <v>3</v>
      </c>
      <c r="E118" s="21" t="s">
        <v>1662</v>
      </c>
      <c r="F118" s="22" t="s">
        <v>1661</v>
      </c>
      <c r="G118" s="58" t="s">
        <v>1663</v>
      </c>
      <c r="H118" s="23" t="s">
        <v>5</v>
      </c>
      <c r="I118" s="52" t="s">
        <v>363</v>
      </c>
      <c r="J118" s="58"/>
      <c r="K118" s="58"/>
      <c r="L118" s="58"/>
      <c r="M118" s="29"/>
      <c r="N118" s="10" t="s">
        <v>94</v>
      </c>
      <c r="O118" s="10" t="s">
        <v>975</v>
      </c>
      <c r="P118" s="10" t="s">
        <v>94</v>
      </c>
      <c r="Q118" s="10" t="s">
        <v>984</v>
      </c>
      <c r="R118" s="11" t="s">
        <v>534</v>
      </c>
      <c r="S118" s="11" t="s">
        <v>534</v>
      </c>
      <c r="T118" s="11"/>
      <c r="U118" s="81"/>
      <c r="V118" s="60"/>
      <c r="W118" s="60"/>
      <c r="X118" s="60"/>
      <c r="Y118" s="60"/>
      <c r="Z118" s="60"/>
      <c r="AB118" s="60"/>
    </row>
    <row r="119" spans="1:31" ht="126.5" x14ac:dyDescent="0.35">
      <c r="B119" s="60"/>
      <c r="C119" s="63"/>
      <c r="D119" s="6" t="s">
        <v>0</v>
      </c>
      <c r="E119" s="7">
        <v>2</v>
      </c>
      <c r="F119" s="8" t="s">
        <v>472</v>
      </c>
      <c r="G119" s="9" t="s">
        <v>473</v>
      </c>
      <c r="H119" s="9"/>
      <c r="I119" s="49"/>
      <c r="J119" s="9" t="s">
        <v>671</v>
      </c>
      <c r="K119" s="9" t="s">
        <v>670</v>
      </c>
      <c r="L119" s="9" t="s">
        <v>672</v>
      </c>
      <c r="M119" s="9" t="s">
        <v>673</v>
      </c>
      <c r="N119" s="10"/>
      <c r="O119" s="10"/>
      <c r="P119" s="10"/>
      <c r="Q119" s="10"/>
      <c r="R119" s="33"/>
      <c r="S119" s="33"/>
      <c r="T119" s="11"/>
      <c r="U119" s="80"/>
    </row>
    <row r="120" spans="1:31" ht="92" x14ac:dyDescent="0.35">
      <c r="B120" s="60"/>
      <c r="C120" s="63" t="s">
        <v>515</v>
      </c>
      <c r="D120" s="12" t="s">
        <v>1</v>
      </c>
      <c r="E120" s="13">
        <v>2.1</v>
      </c>
      <c r="F120" s="14" t="s">
        <v>474</v>
      </c>
      <c r="G120" s="15" t="s">
        <v>475</v>
      </c>
      <c r="H120" s="15"/>
      <c r="I120" s="50"/>
      <c r="J120" s="15" t="s">
        <v>1424</v>
      </c>
      <c r="K120" s="15" t="s">
        <v>674</v>
      </c>
      <c r="L120" s="15" t="s">
        <v>675</v>
      </c>
      <c r="M120" s="15" t="s">
        <v>676</v>
      </c>
      <c r="N120" s="10" t="s">
        <v>94</v>
      </c>
      <c r="O120" s="10" t="s">
        <v>94</v>
      </c>
      <c r="P120" s="10" t="s">
        <v>94</v>
      </c>
      <c r="Q120" s="10" t="s">
        <v>94</v>
      </c>
      <c r="R120" s="11"/>
      <c r="S120" s="11"/>
      <c r="T120" s="11"/>
      <c r="U120" s="81"/>
    </row>
    <row r="121" spans="1:31" ht="34.5" x14ac:dyDescent="0.35">
      <c r="A121" s="123" t="s">
        <v>1720</v>
      </c>
      <c r="B121" s="60"/>
      <c r="C121" s="63" t="s">
        <v>1064</v>
      </c>
      <c r="D121" s="16" t="s">
        <v>2</v>
      </c>
      <c r="E121" s="17" t="s">
        <v>477</v>
      </c>
      <c r="F121" s="18" t="s">
        <v>1817</v>
      </c>
      <c r="G121" s="56" t="s">
        <v>1815</v>
      </c>
      <c r="H121" s="19" t="s">
        <v>5</v>
      </c>
      <c r="I121" s="51" t="s">
        <v>363</v>
      </c>
      <c r="J121" s="56"/>
      <c r="K121" s="56"/>
      <c r="L121" s="56"/>
      <c r="M121" s="56"/>
      <c r="N121" s="10"/>
      <c r="O121" s="10"/>
      <c r="P121" s="10"/>
      <c r="Q121" s="10"/>
      <c r="R121" s="11" t="s">
        <v>534</v>
      </c>
      <c r="S121" s="11" t="s">
        <v>534</v>
      </c>
      <c r="T121" s="11"/>
      <c r="U121" s="81"/>
    </row>
    <row r="122" spans="1:31" ht="34.5" x14ac:dyDescent="0.35">
      <c r="A122" s="123" t="s">
        <v>1720</v>
      </c>
      <c r="B122" s="60"/>
      <c r="C122" s="63" t="s">
        <v>1064</v>
      </c>
      <c r="D122" s="20" t="s">
        <v>3</v>
      </c>
      <c r="E122" s="21" t="s">
        <v>524</v>
      </c>
      <c r="F122" s="22" t="s">
        <v>1816</v>
      </c>
      <c r="G122" s="23" t="s">
        <v>1819</v>
      </c>
      <c r="H122" s="23" t="s">
        <v>5</v>
      </c>
      <c r="I122" s="52" t="s">
        <v>363</v>
      </c>
      <c r="J122" s="23"/>
      <c r="K122" s="23"/>
      <c r="L122" s="23"/>
      <c r="M122" s="29"/>
      <c r="N122" s="10"/>
      <c r="O122" s="10"/>
      <c r="P122" s="10"/>
      <c r="Q122" s="10"/>
      <c r="R122" s="11" t="s">
        <v>534</v>
      </c>
      <c r="S122" s="11" t="s">
        <v>534</v>
      </c>
      <c r="T122" s="11"/>
      <c r="U122" s="81"/>
    </row>
    <row r="123" spans="1:31" ht="46" x14ac:dyDescent="0.35">
      <c r="A123" s="123" t="s">
        <v>1720</v>
      </c>
      <c r="B123" s="60"/>
      <c r="C123" s="63" t="s">
        <v>1820</v>
      </c>
      <c r="D123" s="20" t="s">
        <v>3</v>
      </c>
      <c r="E123" s="21" t="s">
        <v>525</v>
      </c>
      <c r="F123" s="22" t="s">
        <v>1818</v>
      </c>
      <c r="G123" s="23" t="s">
        <v>1821</v>
      </c>
      <c r="H123" s="23" t="s">
        <v>5</v>
      </c>
      <c r="I123" s="52" t="s">
        <v>361</v>
      </c>
      <c r="J123" s="23"/>
      <c r="K123" s="23"/>
      <c r="L123" s="23"/>
      <c r="M123" s="29"/>
      <c r="N123" s="10"/>
      <c r="O123" s="10"/>
      <c r="P123" s="10"/>
      <c r="Q123" s="10"/>
      <c r="R123" s="11" t="s">
        <v>534</v>
      </c>
      <c r="S123" s="11" t="s">
        <v>534</v>
      </c>
      <c r="T123" s="11"/>
      <c r="U123" s="81"/>
    </row>
    <row r="124" spans="1:31" ht="103.5" x14ac:dyDescent="0.35">
      <c r="B124" s="60"/>
      <c r="C124" s="63" t="s">
        <v>34</v>
      </c>
      <c r="D124" s="16" t="s">
        <v>2</v>
      </c>
      <c r="E124" s="17" t="s">
        <v>478</v>
      </c>
      <c r="F124" s="18" t="s">
        <v>476</v>
      </c>
      <c r="G124" s="56" t="s">
        <v>1822</v>
      </c>
      <c r="H124" s="19" t="s">
        <v>5</v>
      </c>
      <c r="I124" s="51" t="s">
        <v>363</v>
      </c>
      <c r="J124" s="56" t="s">
        <v>1425</v>
      </c>
      <c r="K124" s="56" t="s">
        <v>677</v>
      </c>
      <c r="L124" s="56" t="s">
        <v>678</v>
      </c>
      <c r="M124" s="56" t="s">
        <v>679</v>
      </c>
      <c r="N124" s="10" t="s">
        <v>982</v>
      </c>
      <c r="O124" s="10" t="s">
        <v>987</v>
      </c>
      <c r="P124" s="10" t="s">
        <v>988</v>
      </c>
      <c r="Q124" s="10" t="s">
        <v>982</v>
      </c>
      <c r="R124" s="11" t="s">
        <v>1654</v>
      </c>
      <c r="S124" s="11" t="s">
        <v>1654</v>
      </c>
      <c r="T124" s="11" t="s">
        <v>338</v>
      </c>
      <c r="U124" s="81"/>
    </row>
    <row r="125" spans="1:31" ht="34.5" x14ac:dyDescent="0.35">
      <c r="B125" s="60"/>
      <c r="C125" s="63" t="s">
        <v>34</v>
      </c>
      <c r="D125" s="20" t="s">
        <v>3</v>
      </c>
      <c r="E125" s="21" t="s">
        <v>529</v>
      </c>
      <c r="F125" s="22" t="s">
        <v>527</v>
      </c>
      <c r="G125" s="23" t="s">
        <v>526</v>
      </c>
      <c r="H125" s="23" t="s">
        <v>5</v>
      </c>
      <c r="I125" s="52" t="s">
        <v>363</v>
      </c>
      <c r="J125" s="23"/>
      <c r="K125" s="23"/>
      <c r="L125" s="23"/>
      <c r="M125" s="29"/>
      <c r="N125" s="10" t="s">
        <v>338</v>
      </c>
      <c r="O125" s="10" t="s">
        <v>972</v>
      </c>
      <c r="P125" s="10" t="s">
        <v>973</v>
      </c>
      <c r="Q125" s="10" t="s">
        <v>338</v>
      </c>
      <c r="R125" s="11" t="s">
        <v>1651</v>
      </c>
      <c r="S125" s="11" t="s">
        <v>1654</v>
      </c>
      <c r="T125" s="11"/>
      <c r="U125" s="81"/>
    </row>
    <row r="126" spans="1:31" ht="80.5" x14ac:dyDescent="0.35">
      <c r="B126" s="60"/>
      <c r="C126" s="63" t="s">
        <v>34</v>
      </c>
      <c r="D126" s="20" t="s">
        <v>3</v>
      </c>
      <c r="E126" s="21" t="s">
        <v>532</v>
      </c>
      <c r="F126" s="22" t="s">
        <v>528</v>
      </c>
      <c r="G126" s="23" t="s">
        <v>1835</v>
      </c>
      <c r="H126" s="23" t="s">
        <v>5</v>
      </c>
      <c r="I126" s="52" t="s">
        <v>361</v>
      </c>
      <c r="J126" s="23"/>
      <c r="K126" s="23"/>
      <c r="L126" s="23"/>
      <c r="M126" s="29"/>
      <c r="N126" s="10" t="s">
        <v>94</v>
      </c>
      <c r="O126" s="10" t="s">
        <v>94</v>
      </c>
      <c r="P126" s="10" t="s">
        <v>94</v>
      </c>
      <c r="Q126" s="10" t="s">
        <v>94</v>
      </c>
      <c r="R126" s="11" t="s">
        <v>1651</v>
      </c>
      <c r="S126" s="11" t="s">
        <v>1654</v>
      </c>
      <c r="T126" s="11"/>
      <c r="U126" s="81"/>
    </row>
    <row r="127" spans="1:31" ht="34.5" x14ac:dyDescent="0.35">
      <c r="A127" s="123" t="s">
        <v>1720</v>
      </c>
      <c r="B127" s="60"/>
      <c r="C127" s="63" t="s">
        <v>1774</v>
      </c>
      <c r="D127" s="20" t="s">
        <v>3</v>
      </c>
      <c r="E127" s="21" t="s">
        <v>533</v>
      </c>
      <c r="F127" s="22" t="s">
        <v>1823</v>
      </c>
      <c r="G127" s="23" t="s">
        <v>1826</v>
      </c>
      <c r="H127" s="23" t="s">
        <v>5</v>
      </c>
      <c r="I127" s="52" t="s">
        <v>363</v>
      </c>
      <c r="J127" s="23"/>
      <c r="K127" s="23"/>
      <c r="L127" s="23"/>
      <c r="M127" s="29"/>
      <c r="N127" s="10"/>
      <c r="O127" s="10"/>
      <c r="P127" s="10"/>
      <c r="Q127" s="10"/>
      <c r="R127" s="11" t="s">
        <v>1651</v>
      </c>
      <c r="S127" s="11" t="s">
        <v>1654</v>
      </c>
      <c r="T127" s="11" t="s">
        <v>1680</v>
      </c>
      <c r="U127" s="81"/>
    </row>
    <row r="128" spans="1:31" ht="23" x14ac:dyDescent="0.35">
      <c r="A128" s="123" t="s">
        <v>1720</v>
      </c>
      <c r="B128" s="60"/>
      <c r="C128" s="63" t="s">
        <v>1064</v>
      </c>
      <c r="D128" s="20" t="s">
        <v>3</v>
      </c>
      <c r="E128" s="21" t="s">
        <v>1435</v>
      </c>
      <c r="F128" s="22" t="s">
        <v>1825</v>
      </c>
      <c r="G128" s="23" t="s">
        <v>1824</v>
      </c>
      <c r="H128" s="23" t="s">
        <v>5</v>
      </c>
      <c r="I128" s="52" t="s">
        <v>361</v>
      </c>
      <c r="J128" s="23"/>
      <c r="K128" s="23"/>
      <c r="L128" s="23"/>
      <c r="M128" s="29"/>
      <c r="N128" s="10"/>
      <c r="O128" s="10"/>
      <c r="P128" s="10"/>
      <c r="Q128" s="10"/>
      <c r="R128" s="11" t="s">
        <v>1651</v>
      </c>
      <c r="S128" s="11" t="s">
        <v>1654</v>
      </c>
      <c r="T128" s="11"/>
      <c r="U128" s="81"/>
    </row>
    <row r="129" spans="1:30" ht="34.5" x14ac:dyDescent="0.35">
      <c r="A129" s="123" t="s">
        <v>1720</v>
      </c>
      <c r="B129" s="60"/>
      <c r="C129" s="63" t="s">
        <v>1837</v>
      </c>
      <c r="D129" s="16" t="s">
        <v>2</v>
      </c>
      <c r="E129" s="17" t="s">
        <v>479</v>
      </c>
      <c r="F129" s="18" t="s">
        <v>1706</v>
      </c>
      <c r="G129" s="56" t="s">
        <v>1830</v>
      </c>
      <c r="H129" s="19" t="s">
        <v>5</v>
      </c>
      <c r="I129" s="51" t="s">
        <v>363</v>
      </c>
      <c r="J129" s="56"/>
      <c r="K129" s="56"/>
      <c r="L129" s="56"/>
      <c r="M129" s="56"/>
      <c r="N129" s="10"/>
      <c r="O129" s="10"/>
      <c r="P129" s="10"/>
      <c r="Q129" s="10"/>
      <c r="R129" s="11" t="s">
        <v>326</v>
      </c>
      <c r="S129" s="11" t="s">
        <v>326</v>
      </c>
      <c r="T129" s="11"/>
      <c r="U129" s="81"/>
      <c r="V129" s="112"/>
    </row>
    <row r="130" spans="1:30" ht="46" x14ac:dyDescent="0.35">
      <c r="A130" s="123" t="s">
        <v>1720</v>
      </c>
      <c r="B130" s="60"/>
      <c r="C130" s="63" t="s">
        <v>1837</v>
      </c>
      <c r="D130" s="20" t="s">
        <v>3</v>
      </c>
      <c r="E130" s="21" t="s">
        <v>535</v>
      </c>
      <c r="F130" s="22" t="s">
        <v>1831</v>
      </c>
      <c r="G130" s="23" t="s">
        <v>1832</v>
      </c>
      <c r="H130" s="23" t="s">
        <v>5</v>
      </c>
      <c r="I130" s="52" t="s">
        <v>363</v>
      </c>
      <c r="J130" s="23"/>
      <c r="K130" s="23"/>
      <c r="L130" s="23"/>
      <c r="M130" s="29"/>
      <c r="N130" s="10"/>
      <c r="O130" s="10"/>
      <c r="P130" s="10"/>
      <c r="Q130" s="10"/>
      <c r="R130" s="11" t="s">
        <v>326</v>
      </c>
      <c r="S130" s="11" t="s">
        <v>326</v>
      </c>
      <c r="T130" s="11" t="s">
        <v>1651</v>
      </c>
      <c r="U130" s="81"/>
      <c r="AD130" s="122" t="s">
        <v>1707</v>
      </c>
    </row>
    <row r="131" spans="1:30" ht="46" x14ac:dyDescent="0.35">
      <c r="A131" s="123" t="s">
        <v>1720</v>
      </c>
      <c r="B131" s="60"/>
      <c r="C131" s="63" t="s">
        <v>1837</v>
      </c>
      <c r="D131" s="20" t="s">
        <v>3</v>
      </c>
      <c r="E131" s="21" t="s">
        <v>1827</v>
      </c>
      <c r="F131" s="22" t="s">
        <v>1833</v>
      </c>
      <c r="G131" s="23" t="s">
        <v>1834</v>
      </c>
      <c r="H131" s="23" t="s">
        <v>5</v>
      </c>
      <c r="I131" s="52" t="s">
        <v>363</v>
      </c>
      <c r="J131" s="23"/>
      <c r="K131" s="23"/>
      <c r="L131" s="23"/>
      <c r="M131" s="29"/>
      <c r="N131" s="10"/>
      <c r="O131" s="10"/>
      <c r="P131" s="10"/>
      <c r="Q131" s="10"/>
      <c r="R131" s="11" t="s">
        <v>326</v>
      </c>
      <c r="S131" s="11" t="s">
        <v>326</v>
      </c>
      <c r="T131" s="11" t="s">
        <v>1651</v>
      </c>
      <c r="U131" s="81"/>
    </row>
    <row r="132" spans="1:30" ht="80.5" x14ac:dyDescent="0.35">
      <c r="A132" s="123" t="s">
        <v>1720</v>
      </c>
      <c r="B132" s="60"/>
      <c r="C132" s="63" t="s">
        <v>1837</v>
      </c>
      <c r="D132" s="20" t="s">
        <v>3</v>
      </c>
      <c r="E132" s="21" t="s">
        <v>1828</v>
      </c>
      <c r="F132" s="22" t="s">
        <v>1838</v>
      </c>
      <c r="G132" s="23" t="s">
        <v>1839</v>
      </c>
      <c r="H132" s="23" t="s">
        <v>5</v>
      </c>
      <c r="I132" s="52" t="s">
        <v>363</v>
      </c>
      <c r="J132" s="23"/>
      <c r="K132" s="23" t="s">
        <v>1893</v>
      </c>
      <c r="L132" s="23"/>
      <c r="M132" s="29"/>
      <c r="N132" s="10"/>
      <c r="O132" s="10"/>
      <c r="P132" s="10"/>
      <c r="Q132" s="10"/>
      <c r="R132" s="11" t="s">
        <v>326</v>
      </c>
      <c r="S132" s="11" t="s">
        <v>326</v>
      </c>
      <c r="T132" s="11" t="s">
        <v>1651</v>
      </c>
      <c r="U132" s="81"/>
    </row>
    <row r="133" spans="1:30" ht="23" x14ac:dyDescent="0.35">
      <c r="A133" s="123" t="s">
        <v>1720</v>
      </c>
      <c r="B133" s="60"/>
      <c r="C133" s="63" t="s">
        <v>1064</v>
      </c>
      <c r="D133" s="20" t="s">
        <v>3</v>
      </c>
      <c r="E133" s="21" t="s">
        <v>1829</v>
      </c>
      <c r="F133" s="22" t="s">
        <v>1825</v>
      </c>
      <c r="G133" s="23" t="s">
        <v>1836</v>
      </c>
      <c r="H133" s="23" t="s">
        <v>5</v>
      </c>
      <c r="I133" s="52" t="s">
        <v>363</v>
      </c>
      <c r="J133" s="23"/>
      <c r="K133" s="23"/>
      <c r="L133" s="23"/>
      <c r="M133" s="29"/>
      <c r="N133" s="10"/>
      <c r="O133" s="10"/>
      <c r="P133" s="10"/>
      <c r="Q133" s="10"/>
      <c r="R133" s="11" t="s">
        <v>326</v>
      </c>
      <c r="S133" s="11" t="s">
        <v>326</v>
      </c>
      <c r="T133" s="11"/>
      <c r="U133" s="81"/>
    </row>
    <row r="134" spans="1:30" ht="80.5" x14ac:dyDescent="0.35">
      <c r="A134" s="123" t="s">
        <v>1844</v>
      </c>
      <c r="B134" s="60"/>
      <c r="C134" s="63" t="s">
        <v>832</v>
      </c>
      <c r="D134" s="16" t="s">
        <v>2</v>
      </c>
      <c r="E134" s="17" t="s">
        <v>505</v>
      </c>
      <c r="F134" s="18" t="s">
        <v>1842</v>
      </c>
      <c r="G134" s="56" t="s">
        <v>1843</v>
      </c>
      <c r="H134" s="19" t="s">
        <v>5</v>
      </c>
      <c r="I134" s="51" t="s">
        <v>363</v>
      </c>
      <c r="J134" s="56" t="s">
        <v>685</v>
      </c>
      <c r="K134" s="56" t="s">
        <v>684</v>
      </c>
      <c r="L134" s="56" t="s">
        <v>686</v>
      </c>
      <c r="M134" s="56" t="s">
        <v>687</v>
      </c>
      <c r="N134" s="10"/>
      <c r="O134" s="10"/>
      <c r="P134" s="10"/>
      <c r="Q134" s="10"/>
      <c r="R134" s="11" t="s">
        <v>534</v>
      </c>
      <c r="S134" s="11" t="s">
        <v>534</v>
      </c>
      <c r="T134" s="11" t="s">
        <v>1301</v>
      </c>
      <c r="U134" s="81"/>
      <c r="V134" s="125" t="s">
        <v>1669</v>
      </c>
    </row>
    <row r="135" spans="1:30" ht="69" x14ac:dyDescent="0.35">
      <c r="A135" s="123" t="s">
        <v>1844</v>
      </c>
      <c r="B135" s="60"/>
      <c r="C135" s="63" t="s">
        <v>1847</v>
      </c>
      <c r="D135" s="20" t="s">
        <v>3</v>
      </c>
      <c r="E135" s="21" t="s">
        <v>1840</v>
      </c>
      <c r="F135" s="22" t="s">
        <v>1845</v>
      </c>
      <c r="G135" s="23" t="s">
        <v>1846</v>
      </c>
      <c r="H135" s="23" t="s">
        <v>5</v>
      </c>
      <c r="I135" s="52" t="s">
        <v>359</v>
      </c>
      <c r="J135" s="23"/>
      <c r="K135" s="23"/>
      <c r="L135" s="23"/>
      <c r="M135" s="29"/>
      <c r="N135" s="10"/>
      <c r="O135" s="10"/>
      <c r="P135" s="10"/>
      <c r="Q135" s="10"/>
      <c r="R135" s="11" t="s">
        <v>534</v>
      </c>
      <c r="S135" s="11" t="s">
        <v>534</v>
      </c>
      <c r="T135" s="11" t="s">
        <v>1301</v>
      </c>
      <c r="U135" s="81"/>
      <c r="V135" s="125" t="s">
        <v>1669</v>
      </c>
    </row>
    <row r="136" spans="1:30" ht="172.5" x14ac:dyDescent="0.35">
      <c r="A136" s="123" t="s">
        <v>1852</v>
      </c>
      <c r="B136" s="60"/>
      <c r="C136" s="63" t="s">
        <v>1329</v>
      </c>
      <c r="D136" s="20" t="s">
        <v>3</v>
      </c>
      <c r="E136" s="21" t="s">
        <v>1436</v>
      </c>
      <c r="F136" s="22" t="s">
        <v>1848</v>
      </c>
      <c r="G136" s="23" t="s">
        <v>1851</v>
      </c>
      <c r="H136" s="23" t="s">
        <v>5</v>
      </c>
      <c r="I136" s="52" t="s">
        <v>361</v>
      </c>
      <c r="J136" s="23"/>
      <c r="K136" s="23"/>
      <c r="L136" s="23"/>
      <c r="M136" s="29"/>
      <c r="N136" s="10"/>
      <c r="O136" s="10"/>
      <c r="P136" s="10"/>
      <c r="Q136" s="10"/>
      <c r="R136" s="11" t="s">
        <v>534</v>
      </c>
      <c r="S136" s="11" t="s">
        <v>534</v>
      </c>
      <c r="T136" s="11" t="s">
        <v>1849</v>
      </c>
      <c r="U136" s="81"/>
    </row>
    <row r="137" spans="1:30" ht="69" x14ac:dyDescent="0.35">
      <c r="B137" s="60"/>
      <c r="C137" s="63" t="s">
        <v>1329</v>
      </c>
      <c r="D137" s="20" t="s">
        <v>3</v>
      </c>
      <c r="E137" s="21" t="s">
        <v>1841</v>
      </c>
      <c r="F137" s="22" t="s">
        <v>1853</v>
      </c>
      <c r="G137" s="23" t="s">
        <v>1858</v>
      </c>
      <c r="H137" s="23" t="s">
        <v>5</v>
      </c>
      <c r="I137" s="52"/>
      <c r="J137" s="23"/>
      <c r="K137" s="23"/>
      <c r="L137" s="23"/>
      <c r="M137" s="29"/>
      <c r="N137" s="10" t="s">
        <v>1034</v>
      </c>
      <c r="O137" s="10"/>
      <c r="P137" s="10"/>
      <c r="Q137" s="10"/>
      <c r="R137" s="11" t="s">
        <v>1654</v>
      </c>
      <c r="S137" s="11" t="s">
        <v>1654</v>
      </c>
      <c r="T137" s="11"/>
      <c r="U137" s="81"/>
    </row>
    <row r="138" spans="1:30" ht="57.5" x14ac:dyDescent="0.35">
      <c r="B138" s="60"/>
      <c r="C138" s="63" t="s">
        <v>1329</v>
      </c>
      <c r="D138" s="16" t="s">
        <v>2</v>
      </c>
      <c r="E138" s="17" t="s">
        <v>507</v>
      </c>
      <c r="F138" s="18" t="s">
        <v>1859</v>
      </c>
      <c r="G138" s="56" t="s">
        <v>1864</v>
      </c>
      <c r="H138" s="19" t="s">
        <v>5</v>
      </c>
      <c r="I138" s="51" t="s">
        <v>363</v>
      </c>
      <c r="J138" s="56" t="s">
        <v>681</v>
      </c>
      <c r="K138" s="56" t="s">
        <v>680</v>
      </c>
      <c r="L138" s="56" t="s">
        <v>682</v>
      </c>
      <c r="M138" s="56" t="s">
        <v>683</v>
      </c>
      <c r="N138" s="10" t="s">
        <v>94</v>
      </c>
      <c r="O138" s="10" t="s">
        <v>94</v>
      </c>
      <c r="P138" s="10" t="s">
        <v>94</v>
      </c>
      <c r="Q138" s="10" t="s">
        <v>94</v>
      </c>
      <c r="R138" s="11" t="s">
        <v>534</v>
      </c>
      <c r="S138" s="11" t="s">
        <v>534</v>
      </c>
      <c r="T138" s="11"/>
      <c r="U138" s="81"/>
    </row>
    <row r="139" spans="1:30" ht="34.5" x14ac:dyDescent="0.35">
      <c r="B139" s="60"/>
      <c r="C139" s="63" t="s">
        <v>1329</v>
      </c>
      <c r="D139" s="20" t="s">
        <v>3</v>
      </c>
      <c r="E139" s="21" t="s">
        <v>1854</v>
      </c>
      <c r="F139" s="22" t="s">
        <v>530</v>
      </c>
      <c r="G139" s="23" t="s">
        <v>1860</v>
      </c>
      <c r="H139" s="23" t="s">
        <v>5</v>
      </c>
      <c r="I139" s="52" t="s">
        <v>363</v>
      </c>
      <c r="J139" s="23"/>
      <c r="K139" s="23"/>
      <c r="L139" s="23"/>
      <c r="M139" s="29"/>
      <c r="N139" s="10" t="s">
        <v>94</v>
      </c>
      <c r="O139" s="10" t="s">
        <v>94</v>
      </c>
      <c r="P139" s="10" t="s">
        <v>94</v>
      </c>
      <c r="Q139" s="10" t="s">
        <v>94</v>
      </c>
      <c r="R139" s="11" t="s">
        <v>534</v>
      </c>
      <c r="S139" s="11" t="s">
        <v>534</v>
      </c>
      <c r="T139" s="11"/>
      <c r="U139" s="81"/>
    </row>
    <row r="140" spans="1:30" ht="34.5" x14ac:dyDescent="0.35">
      <c r="B140" s="60"/>
      <c r="C140" s="63" t="s">
        <v>1329</v>
      </c>
      <c r="D140" s="20" t="s">
        <v>3</v>
      </c>
      <c r="E140" s="21" t="s">
        <v>1855</v>
      </c>
      <c r="F140" s="22" t="s">
        <v>531</v>
      </c>
      <c r="G140" s="23" t="s">
        <v>1861</v>
      </c>
      <c r="H140" s="23" t="s">
        <v>5</v>
      </c>
      <c r="I140" s="52" t="s">
        <v>363</v>
      </c>
      <c r="J140" s="23"/>
      <c r="K140" s="23"/>
      <c r="L140" s="23"/>
      <c r="M140" s="29"/>
      <c r="N140" s="10" t="s">
        <v>94</v>
      </c>
      <c r="O140" s="10" t="s">
        <v>94</v>
      </c>
      <c r="P140" s="10" t="s">
        <v>94</v>
      </c>
      <c r="Q140" s="10" t="s">
        <v>94</v>
      </c>
      <c r="R140" s="11" t="s">
        <v>534</v>
      </c>
      <c r="S140" s="11" t="s">
        <v>534</v>
      </c>
      <c r="T140" s="11"/>
      <c r="U140" s="81"/>
    </row>
    <row r="141" spans="1:30" ht="46" x14ac:dyDescent="0.35">
      <c r="B141" s="60"/>
      <c r="C141" s="63" t="s">
        <v>1329</v>
      </c>
      <c r="D141" s="20" t="s">
        <v>3</v>
      </c>
      <c r="E141" s="21" t="s">
        <v>1856</v>
      </c>
      <c r="F141" s="22" t="s">
        <v>1437</v>
      </c>
      <c r="G141" s="23" t="s">
        <v>1862</v>
      </c>
      <c r="H141" s="23" t="s">
        <v>5</v>
      </c>
      <c r="I141" s="52" t="s">
        <v>363</v>
      </c>
      <c r="J141" s="23"/>
      <c r="K141" s="23"/>
      <c r="L141" s="23"/>
      <c r="M141" s="29"/>
      <c r="N141" s="10"/>
      <c r="O141" s="10"/>
      <c r="P141" s="10"/>
      <c r="Q141" s="10"/>
      <c r="R141" s="11" t="s">
        <v>534</v>
      </c>
      <c r="S141" s="11" t="s">
        <v>534</v>
      </c>
      <c r="T141" s="11"/>
      <c r="U141" s="81"/>
    </row>
    <row r="142" spans="1:30" ht="69" x14ac:dyDescent="0.35">
      <c r="B142" s="60"/>
      <c r="C142" s="63" t="s">
        <v>1329</v>
      </c>
      <c r="D142" s="20" t="s">
        <v>3</v>
      </c>
      <c r="E142" s="21" t="s">
        <v>1857</v>
      </c>
      <c r="F142" s="22" t="s">
        <v>536</v>
      </c>
      <c r="G142" s="23" t="s">
        <v>1863</v>
      </c>
      <c r="H142" s="23" t="s">
        <v>5</v>
      </c>
      <c r="I142" s="52" t="s">
        <v>363</v>
      </c>
      <c r="J142" s="23"/>
      <c r="K142" s="23"/>
      <c r="L142" s="23"/>
      <c r="M142" s="29"/>
      <c r="N142" s="10"/>
      <c r="O142" s="10"/>
      <c r="P142" s="10"/>
      <c r="Q142" s="10"/>
      <c r="R142" s="11" t="s">
        <v>534</v>
      </c>
      <c r="S142" s="11" t="s">
        <v>534</v>
      </c>
      <c r="T142" s="11" t="s">
        <v>1654</v>
      </c>
      <c r="U142" s="81"/>
      <c r="V142" s="125" t="s">
        <v>1669</v>
      </c>
    </row>
    <row r="143" spans="1:30" ht="34.5" x14ac:dyDescent="0.35">
      <c r="B143" s="60"/>
      <c r="C143" s="63" t="s">
        <v>1329</v>
      </c>
      <c r="D143" s="16" t="s">
        <v>2</v>
      </c>
      <c r="E143" s="17" t="s">
        <v>1865</v>
      </c>
      <c r="F143" s="18" t="s">
        <v>1868</v>
      </c>
      <c r="G143" s="56" t="s">
        <v>1869</v>
      </c>
      <c r="H143" s="19" t="s">
        <v>5</v>
      </c>
      <c r="I143" s="51" t="s">
        <v>363</v>
      </c>
      <c r="J143" s="56"/>
      <c r="K143" s="56"/>
      <c r="L143" s="56"/>
      <c r="M143" s="56"/>
      <c r="N143" s="10"/>
      <c r="O143" s="10"/>
      <c r="P143" s="10"/>
      <c r="Q143" s="10"/>
      <c r="R143" s="11" t="s">
        <v>534</v>
      </c>
      <c r="S143" s="11" t="s">
        <v>534</v>
      </c>
      <c r="T143" s="11" t="s">
        <v>1654</v>
      </c>
      <c r="U143" s="81"/>
    </row>
    <row r="144" spans="1:30" ht="80.5" x14ac:dyDescent="0.35">
      <c r="B144" s="60"/>
      <c r="C144" s="63" t="s">
        <v>1873</v>
      </c>
      <c r="D144" s="20" t="s">
        <v>3</v>
      </c>
      <c r="E144" s="21" t="s">
        <v>1866</v>
      </c>
      <c r="F144" s="22" t="s">
        <v>1708</v>
      </c>
      <c r="G144" s="23" t="s">
        <v>1870</v>
      </c>
      <c r="H144" s="23" t="s">
        <v>5</v>
      </c>
      <c r="I144" s="52" t="s">
        <v>363</v>
      </c>
      <c r="J144" s="23"/>
      <c r="K144" s="23"/>
      <c r="L144" s="23"/>
      <c r="M144" s="23"/>
      <c r="N144" s="10"/>
      <c r="O144" s="10"/>
      <c r="P144" s="10"/>
      <c r="Q144" s="10"/>
      <c r="R144" s="11" t="s">
        <v>534</v>
      </c>
      <c r="S144" s="11" t="s">
        <v>534</v>
      </c>
      <c r="T144" s="11" t="s">
        <v>1654</v>
      </c>
      <c r="U144" s="81"/>
      <c r="AD144" s="122" t="s">
        <v>1709</v>
      </c>
    </row>
    <row r="145" spans="2:30" ht="57.5" x14ac:dyDescent="0.35">
      <c r="B145" s="60"/>
      <c r="C145" s="63" t="s">
        <v>1873</v>
      </c>
      <c r="D145" s="20" t="s">
        <v>3</v>
      </c>
      <c r="E145" s="21" t="s">
        <v>1867</v>
      </c>
      <c r="F145" s="22" t="s">
        <v>1871</v>
      </c>
      <c r="G145" s="23" t="s">
        <v>1872</v>
      </c>
      <c r="H145" s="23" t="str">
        <f>"Decision 
If yes, proceed to step "&amp;E146&amp;" 
If no, proceed to "&amp;E137&amp;""</f>
        <v>Decision 
If yes, proceed to step 2.1.6.3 
If no, proceed to 2.1.4.3</v>
      </c>
      <c r="I145" s="52" t="s">
        <v>363</v>
      </c>
      <c r="J145" s="23"/>
      <c r="K145" s="23"/>
      <c r="L145" s="23"/>
      <c r="M145" s="23"/>
      <c r="N145" s="10"/>
      <c r="O145" s="10"/>
      <c r="P145" s="10"/>
      <c r="Q145" s="10"/>
      <c r="R145" s="11" t="s">
        <v>1654</v>
      </c>
      <c r="S145" s="11" t="s">
        <v>1654</v>
      </c>
      <c r="T145" s="11"/>
      <c r="U145" s="81"/>
    </row>
    <row r="146" spans="2:30" ht="29" x14ac:dyDescent="0.35">
      <c r="B146" s="60"/>
      <c r="C146" s="63" t="s">
        <v>1329</v>
      </c>
      <c r="D146" s="20" t="s">
        <v>3</v>
      </c>
      <c r="E146" s="21" t="s">
        <v>1874</v>
      </c>
      <c r="F146" s="22" t="s">
        <v>537</v>
      </c>
      <c r="G146" s="23" t="s">
        <v>538</v>
      </c>
      <c r="H146" s="23" t="s">
        <v>5</v>
      </c>
      <c r="I146" s="52" t="s">
        <v>363</v>
      </c>
      <c r="J146" s="23"/>
      <c r="K146" s="23"/>
      <c r="L146" s="23"/>
      <c r="M146" s="29"/>
      <c r="N146" s="10"/>
      <c r="O146" s="10"/>
      <c r="P146" s="10"/>
      <c r="Q146" s="10"/>
      <c r="R146" s="11" t="s">
        <v>534</v>
      </c>
      <c r="S146" s="11" t="s">
        <v>534</v>
      </c>
      <c r="T146" s="11"/>
      <c r="U146" s="81"/>
      <c r="V146" s="125" t="s">
        <v>1669</v>
      </c>
    </row>
    <row r="147" spans="2:30" ht="103.5" x14ac:dyDescent="0.35">
      <c r="B147" s="60"/>
      <c r="C147" s="63" t="s">
        <v>96</v>
      </c>
      <c r="D147" s="12" t="s">
        <v>1</v>
      </c>
      <c r="E147" s="13">
        <v>2.2000000000000002</v>
      </c>
      <c r="F147" s="14" t="s">
        <v>480</v>
      </c>
      <c r="G147" s="15" t="s">
        <v>481</v>
      </c>
      <c r="H147" s="15"/>
      <c r="I147" s="50"/>
      <c r="J147" s="15" t="s">
        <v>689</v>
      </c>
      <c r="K147" s="15" t="s">
        <v>688</v>
      </c>
      <c r="L147" s="15" t="s">
        <v>690</v>
      </c>
      <c r="M147" s="15" t="s">
        <v>691</v>
      </c>
      <c r="N147" s="10" t="s">
        <v>29</v>
      </c>
      <c r="O147" s="10" t="s">
        <v>976</v>
      </c>
      <c r="P147" s="10" t="s">
        <v>976</v>
      </c>
      <c r="Q147" s="10" t="s">
        <v>976</v>
      </c>
      <c r="R147" s="11" t="s">
        <v>539</v>
      </c>
      <c r="S147" s="11" t="s">
        <v>539</v>
      </c>
      <c r="T147" s="11"/>
      <c r="U147" s="81"/>
      <c r="AD147" s="122" t="s">
        <v>1712</v>
      </c>
    </row>
    <row r="148" spans="2:30" ht="46" x14ac:dyDescent="0.35">
      <c r="B148" s="60"/>
      <c r="C148" s="63" t="s">
        <v>96</v>
      </c>
      <c r="D148" s="16" t="s">
        <v>2</v>
      </c>
      <c r="E148" s="17" t="s">
        <v>482</v>
      </c>
      <c r="F148" s="18" t="s">
        <v>483</v>
      </c>
      <c r="G148" s="56" t="s">
        <v>1711</v>
      </c>
      <c r="H148" s="19" t="s">
        <v>5</v>
      </c>
      <c r="I148" s="51"/>
      <c r="J148" s="56"/>
      <c r="K148" s="56"/>
      <c r="L148" s="56"/>
      <c r="M148" s="31"/>
      <c r="N148" s="10" t="s">
        <v>989</v>
      </c>
      <c r="O148" s="10" t="s">
        <v>987</v>
      </c>
      <c r="P148" s="10" t="s">
        <v>976</v>
      </c>
      <c r="Q148" s="10" t="s">
        <v>984</v>
      </c>
      <c r="R148" s="11" t="s">
        <v>539</v>
      </c>
      <c r="S148" s="11" t="s">
        <v>539</v>
      </c>
      <c r="T148" s="11" t="s">
        <v>1713</v>
      </c>
      <c r="U148" s="81"/>
    </row>
    <row r="149" spans="2:30" ht="69" x14ac:dyDescent="0.35">
      <c r="B149" s="60"/>
      <c r="C149" s="63" t="s">
        <v>96</v>
      </c>
      <c r="D149" s="16" t="s">
        <v>2</v>
      </c>
      <c r="E149" s="17" t="s">
        <v>484</v>
      </c>
      <c r="F149" s="18" t="s">
        <v>487</v>
      </c>
      <c r="G149" s="56" t="s">
        <v>488</v>
      </c>
      <c r="H149" s="19" t="s">
        <v>5</v>
      </c>
      <c r="I149" s="51"/>
      <c r="J149" s="56" t="s">
        <v>693</v>
      </c>
      <c r="K149" s="56" t="s">
        <v>692</v>
      </c>
      <c r="L149" s="56" t="s">
        <v>694</v>
      </c>
      <c r="M149" s="56" t="s">
        <v>695</v>
      </c>
      <c r="N149" s="10" t="s">
        <v>990</v>
      </c>
      <c r="O149" s="10" t="s">
        <v>991</v>
      </c>
      <c r="P149" s="10" t="s">
        <v>992</v>
      </c>
      <c r="Q149" s="10" t="s">
        <v>984</v>
      </c>
      <c r="R149" s="11" t="s">
        <v>539</v>
      </c>
      <c r="S149" s="11" t="s">
        <v>539</v>
      </c>
      <c r="T149" s="11" t="s">
        <v>1713</v>
      </c>
      <c r="U149" s="81"/>
    </row>
    <row r="150" spans="2:30" ht="34.5" x14ac:dyDescent="0.35">
      <c r="B150" s="60"/>
      <c r="C150" s="63" t="s">
        <v>96</v>
      </c>
      <c r="D150" s="16" t="s">
        <v>2</v>
      </c>
      <c r="E150" s="17" t="s">
        <v>485</v>
      </c>
      <c r="F150" s="18" t="s">
        <v>489</v>
      </c>
      <c r="G150" s="56" t="s">
        <v>490</v>
      </c>
      <c r="H150" s="19" t="s">
        <v>5</v>
      </c>
      <c r="I150" s="51"/>
      <c r="J150" s="56"/>
      <c r="K150" s="56"/>
      <c r="L150" s="56"/>
      <c r="M150" s="56"/>
      <c r="N150" s="10" t="s">
        <v>989</v>
      </c>
      <c r="O150" s="10" t="s">
        <v>991</v>
      </c>
      <c r="P150" s="10" t="s">
        <v>976</v>
      </c>
      <c r="Q150" s="10" t="s">
        <v>984</v>
      </c>
      <c r="R150" s="11" t="s">
        <v>539</v>
      </c>
      <c r="S150" s="11" t="s">
        <v>539</v>
      </c>
      <c r="T150" s="11"/>
      <c r="U150" s="81"/>
    </row>
    <row r="151" spans="2:30" ht="80.5" x14ac:dyDescent="0.35">
      <c r="B151" s="60"/>
      <c r="C151" s="63" t="s">
        <v>514</v>
      </c>
      <c r="D151" s="16" t="s">
        <v>2</v>
      </c>
      <c r="E151" s="17" t="s">
        <v>486</v>
      </c>
      <c r="F151" s="18" t="s">
        <v>1710</v>
      </c>
      <c r="G151" s="56" t="s">
        <v>491</v>
      </c>
      <c r="H151" s="19" t="s">
        <v>5</v>
      </c>
      <c r="I151" s="51"/>
      <c r="J151" s="56" t="s">
        <v>697</v>
      </c>
      <c r="K151" s="56" t="s">
        <v>696</v>
      </c>
      <c r="L151" s="56" t="s">
        <v>698</v>
      </c>
      <c r="M151" s="56" t="s">
        <v>699</v>
      </c>
      <c r="N151" s="10" t="s">
        <v>990</v>
      </c>
      <c r="O151" s="10" t="s">
        <v>993</v>
      </c>
      <c r="P151" s="10" t="s">
        <v>994</v>
      </c>
      <c r="Q151" s="10" t="s">
        <v>975</v>
      </c>
      <c r="R151" s="11" t="s">
        <v>539</v>
      </c>
      <c r="S151" s="11" t="s">
        <v>539</v>
      </c>
      <c r="T151" s="11"/>
      <c r="U151" s="81"/>
    </row>
    <row r="152" spans="2:30" ht="103.5" x14ac:dyDescent="0.35">
      <c r="B152" s="60"/>
      <c r="C152" s="63" t="s">
        <v>513</v>
      </c>
      <c r="D152" s="12" t="s">
        <v>1</v>
      </c>
      <c r="E152" s="13">
        <v>2.2999999999999998</v>
      </c>
      <c r="F152" s="14" t="s">
        <v>492</v>
      </c>
      <c r="G152" s="15" t="s">
        <v>493</v>
      </c>
      <c r="H152" s="15"/>
      <c r="I152" s="50"/>
      <c r="J152" s="15" t="s">
        <v>701</v>
      </c>
      <c r="K152" s="15" t="s">
        <v>700</v>
      </c>
      <c r="L152" s="15" t="s">
        <v>702</v>
      </c>
      <c r="M152" s="15" t="s">
        <v>703</v>
      </c>
      <c r="N152" s="10" t="s">
        <v>990</v>
      </c>
      <c r="O152" s="10" t="s">
        <v>539</v>
      </c>
      <c r="P152" s="10" t="s">
        <v>995</v>
      </c>
      <c r="Q152" s="10" t="s">
        <v>975</v>
      </c>
      <c r="R152" s="11" t="s">
        <v>539</v>
      </c>
      <c r="S152" s="11" t="s">
        <v>539</v>
      </c>
      <c r="T152" s="11"/>
      <c r="U152" s="81"/>
    </row>
    <row r="153" spans="2:30" ht="80.5" x14ac:dyDescent="0.35">
      <c r="B153" s="60"/>
      <c r="C153" s="63" t="s">
        <v>96</v>
      </c>
      <c r="D153" s="16" t="s">
        <v>2</v>
      </c>
      <c r="E153" s="17" t="s">
        <v>498</v>
      </c>
      <c r="F153" s="18" t="s">
        <v>494</v>
      </c>
      <c r="G153" s="56" t="s">
        <v>1714</v>
      </c>
      <c r="H153" s="19" t="s">
        <v>5</v>
      </c>
      <c r="I153" s="51"/>
      <c r="J153" s="56" t="s">
        <v>705</v>
      </c>
      <c r="K153" s="56" t="s">
        <v>704</v>
      </c>
      <c r="L153" s="56" t="s">
        <v>706</v>
      </c>
      <c r="M153" s="56" t="s">
        <v>707</v>
      </c>
      <c r="N153" s="10" t="s">
        <v>990</v>
      </c>
      <c r="O153" s="10" t="s">
        <v>539</v>
      </c>
      <c r="P153" s="10" t="s">
        <v>996</v>
      </c>
      <c r="Q153" s="10" t="s">
        <v>975</v>
      </c>
      <c r="R153" s="11" t="s">
        <v>539</v>
      </c>
      <c r="S153" s="11" t="s">
        <v>539</v>
      </c>
      <c r="T153" s="11" t="s">
        <v>326</v>
      </c>
      <c r="U153" s="81"/>
    </row>
    <row r="154" spans="2:30" ht="34.5" x14ac:dyDescent="0.35">
      <c r="B154" s="60"/>
      <c r="C154" s="63" t="s">
        <v>96</v>
      </c>
      <c r="D154" s="16" t="s">
        <v>2</v>
      </c>
      <c r="E154" s="17" t="s">
        <v>502</v>
      </c>
      <c r="F154" s="18" t="s">
        <v>495</v>
      </c>
      <c r="G154" s="56" t="s">
        <v>499</v>
      </c>
      <c r="H154" s="19" t="s">
        <v>5</v>
      </c>
      <c r="I154" s="51"/>
      <c r="J154" s="56"/>
      <c r="K154" s="56"/>
      <c r="L154" s="56"/>
      <c r="M154" s="56"/>
      <c r="N154" s="10" t="s">
        <v>990</v>
      </c>
      <c r="O154" s="10" t="s">
        <v>997</v>
      </c>
      <c r="P154" s="10" t="s">
        <v>998</v>
      </c>
      <c r="Q154" s="10" t="s">
        <v>999</v>
      </c>
      <c r="R154" s="11" t="s">
        <v>539</v>
      </c>
      <c r="S154" s="11" t="s">
        <v>539</v>
      </c>
      <c r="T154" s="11" t="s">
        <v>326</v>
      </c>
      <c r="U154" s="81"/>
    </row>
    <row r="155" spans="2:30" ht="34.5" x14ac:dyDescent="0.35">
      <c r="B155" s="60"/>
      <c r="C155" s="63" t="s">
        <v>96</v>
      </c>
      <c r="D155" s="16" t="s">
        <v>2</v>
      </c>
      <c r="E155" s="17" t="s">
        <v>503</v>
      </c>
      <c r="F155" s="18" t="s">
        <v>496</v>
      </c>
      <c r="G155" s="56" t="s">
        <v>500</v>
      </c>
      <c r="H155" s="19" t="s">
        <v>5</v>
      </c>
      <c r="I155" s="51"/>
      <c r="J155" s="56"/>
      <c r="K155" s="56"/>
      <c r="L155" s="56"/>
      <c r="M155" s="56"/>
      <c r="N155" s="10" t="s">
        <v>990</v>
      </c>
      <c r="O155" s="10" t="s">
        <v>1000</v>
      </c>
      <c r="P155" s="10" t="s">
        <v>995</v>
      </c>
      <c r="Q155" s="10" t="s">
        <v>975</v>
      </c>
      <c r="R155" s="11" t="s">
        <v>539</v>
      </c>
      <c r="S155" s="11" t="s">
        <v>539</v>
      </c>
      <c r="T155" s="11" t="s">
        <v>326</v>
      </c>
      <c r="U155" s="81"/>
    </row>
    <row r="156" spans="2:30" ht="80.5" x14ac:dyDescent="0.35">
      <c r="B156" s="60"/>
      <c r="C156" s="63" t="s">
        <v>513</v>
      </c>
      <c r="D156" s="16" t="s">
        <v>2</v>
      </c>
      <c r="E156" s="17" t="s">
        <v>504</v>
      </c>
      <c r="F156" s="18" t="s">
        <v>497</v>
      </c>
      <c r="G156" s="56" t="s">
        <v>501</v>
      </c>
      <c r="H156" s="19" t="s">
        <v>5</v>
      </c>
      <c r="I156" s="51"/>
      <c r="J156" s="56" t="s">
        <v>709</v>
      </c>
      <c r="K156" s="56" t="s">
        <v>708</v>
      </c>
      <c r="L156" s="56" t="s">
        <v>710</v>
      </c>
      <c r="M156" s="56" t="s">
        <v>711</v>
      </c>
      <c r="N156" s="10" t="s">
        <v>1001</v>
      </c>
      <c r="O156" s="10" t="s">
        <v>94</v>
      </c>
      <c r="P156" s="10" t="s">
        <v>94</v>
      </c>
      <c r="Q156" s="10" t="s">
        <v>94</v>
      </c>
      <c r="R156" s="11" t="s">
        <v>539</v>
      </c>
      <c r="S156" s="11" t="s">
        <v>539</v>
      </c>
      <c r="T156" s="11"/>
      <c r="U156" s="81"/>
    </row>
    <row r="157" spans="2:30" ht="115" x14ac:dyDescent="0.35">
      <c r="B157" s="60"/>
      <c r="C157" s="63" t="s">
        <v>96</v>
      </c>
      <c r="D157" s="6" t="s">
        <v>0</v>
      </c>
      <c r="E157" s="7" t="s">
        <v>115</v>
      </c>
      <c r="F157" s="8" t="s">
        <v>116</v>
      </c>
      <c r="G157" s="9" t="s">
        <v>117</v>
      </c>
      <c r="H157" s="9" t="s">
        <v>5</v>
      </c>
      <c r="I157" s="49"/>
      <c r="J157" s="9" t="s">
        <v>713</v>
      </c>
      <c r="K157" s="9" t="s">
        <v>712</v>
      </c>
      <c r="L157" s="9" t="s">
        <v>714</v>
      </c>
      <c r="M157" s="9" t="s">
        <v>403</v>
      </c>
      <c r="N157" s="10"/>
      <c r="O157" s="10"/>
      <c r="P157" s="10"/>
      <c r="Q157" s="10"/>
      <c r="R157" s="11"/>
      <c r="S157" s="11"/>
      <c r="T157" s="11"/>
      <c r="U157" s="80"/>
    </row>
    <row r="158" spans="2:30" ht="92" x14ac:dyDescent="0.35">
      <c r="B158" s="60"/>
      <c r="C158" s="63" t="s">
        <v>96</v>
      </c>
      <c r="D158" s="12" t="s">
        <v>1</v>
      </c>
      <c r="E158" s="13" t="s">
        <v>118</v>
      </c>
      <c r="F158" s="14" t="s">
        <v>119</v>
      </c>
      <c r="G158" s="15" t="s">
        <v>120</v>
      </c>
      <c r="H158" s="15" t="s">
        <v>5</v>
      </c>
      <c r="I158" s="50"/>
      <c r="J158" s="15" t="s">
        <v>716</v>
      </c>
      <c r="K158" s="15" t="s">
        <v>715</v>
      </c>
      <c r="L158" s="15" t="s">
        <v>717</v>
      </c>
      <c r="M158" s="15" t="s">
        <v>718</v>
      </c>
      <c r="N158" s="10" t="s">
        <v>29</v>
      </c>
      <c r="O158" s="10" t="s">
        <v>29</v>
      </c>
      <c r="P158" s="10" t="s">
        <v>29</v>
      </c>
      <c r="Q158" s="10" t="s">
        <v>29</v>
      </c>
      <c r="R158" s="11"/>
      <c r="S158" s="11"/>
      <c r="T158" s="11"/>
      <c r="U158" s="81"/>
    </row>
    <row r="159" spans="2:30" ht="69" x14ac:dyDescent="0.35">
      <c r="B159" s="60"/>
      <c r="C159" s="63" t="s">
        <v>96</v>
      </c>
      <c r="D159" s="16" t="s">
        <v>2</v>
      </c>
      <c r="E159" s="17" t="s">
        <v>121</v>
      </c>
      <c r="F159" s="18" t="s">
        <v>122</v>
      </c>
      <c r="G159" s="19" t="s">
        <v>543</v>
      </c>
      <c r="H159" s="19" t="s">
        <v>5</v>
      </c>
      <c r="I159" s="51" t="s">
        <v>363</v>
      </c>
      <c r="J159" s="19" t="s">
        <v>720</v>
      </c>
      <c r="K159" s="19" t="s">
        <v>719</v>
      </c>
      <c r="L159" s="19" t="s">
        <v>721</v>
      </c>
      <c r="M159" s="19" t="s">
        <v>722</v>
      </c>
      <c r="N159" s="10" t="s">
        <v>29</v>
      </c>
      <c r="O159" s="10" t="s">
        <v>29</v>
      </c>
      <c r="P159" s="10" t="s">
        <v>29</v>
      </c>
      <c r="Q159" s="10" t="s">
        <v>29</v>
      </c>
      <c r="R159" s="11" t="s">
        <v>1651</v>
      </c>
      <c r="S159" s="11" t="s">
        <v>1651</v>
      </c>
      <c r="T159" s="11"/>
      <c r="U159" s="81"/>
    </row>
    <row r="160" spans="2:30" ht="46" x14ac:dyDescent="0.35">
      <c r="B160" s="60"/>
      <c r="C160" s="63" t="s">
        <v>96</v>
      </c>
      <c r="D160" s="16" t="s">
        <v>2</v>
      </c>
      <c r="E160" s="17" t="s">
        <v>123</v>
      </c>
      <c r="F160" s="18" t="s">
        <v>1012</v>
      </c>
      <c r="G160" s="19" t="s">
        <v>1013</v>
      </c>
      <c r="H160" s="116" t="str">
        <f>"Decision 
If yes, proceed to step "&amp;E162&amp;" 
If no, proceed to "&amp;E161&amp;""</f>
        <v>Decision 
If yes, proceed to step 3.1.4 
If no, proceed to 3.1.3</v>
      </c>
      <c r="I160" s="51" t="s">
        <v>359</v>
      </c>
      <c r="J160" s="19"/>
      <c r="K160" s="19"/>
      <c r="L160" s="19"/>
      <c r="M160" s="19"/>
      <c r="N160" s="10"/>
      <c r="O160" s="10"/>
      <c r="P160" s="10"/>
      <c r="Q160" s="10"/>
      <c r="R160" s="11" t="s">
        <v>364</v>
      </c>
      <c r="S160" s="11" t="s">
        <v>1651</v>
      </c>
      <c r="T160" s="11"/>
      <c r="U160" s="81"/>
    </row>
    <row r="161" spans="1:23" ht="58" x14ac:dyDescent="0.35">
      <c r="B161" s="60"/>
      <c r="C161" s="63" t="s">
        <v>96</v>
      </c>
      <c r="D161" s="16" t="s">
        <v>2</v>
      </c>
      <c r="E161" s="17" t="s">
        <v>126</v>
      </c>
      <c r="F161" s="18" t="s">
        <v>1011</v>
      </c>
      <c r="G161" s="56" t="s">
        <v>1875</v>
      </c>
      <c r="H161" s="19" t="s">
        <v>5</v>
      </c>
      <c r="I161" s="51" t="s">
        <v>359</v>
      </c>
      <c r="J161" s="19" t="s">
        <v>1432</v>
      </c>
      <c r="K161" s="19" t="s">
        <v>1016</v>
      </c>
      <c r="L161" s="19"/>
      <c r="M161" s="19"/>
      <c r="N161" s="10" t="s">
        <v>1015</v>
      </c>
      <c r="O161" s="10" t="s">
        <v>1017</v>
      </c>
      <c r="P161" s="10"/>
      <c r="Q161" s="10"/>
      <c r="R161" s="11" t="s">
        <v>364</v>
      </c>
      <c r="S161" s="11" t="s">
        <v>1651</v>
      </c>
      <c r="T161" s="11"/>
      <c r="U161" s="81"/>
      <c r="W161" s="93" t="s">
        <v>1420</v>
      </c>
    </row>
    <row r="162" spans="1:23" ht="69" x14ac:dyDescent="0.35">
      <c r="A162" s="124" t="s">
        <v>1886</v>
      </c>
      <c r="B162" s="60"/>
      <c r="C162" s="63" t="s">
        <v>96</v>
      </c>
      <c r="D162" s="16" t="s">
        <v>2</v>
      </c>
      <c r="E162" s="17" t="s">
        <v>128</v>
      </c>
      <c r="F162" s="18" t="s">
        <v>124</v>
      </c>
      <c r="G162" s="19" t="s">
        <v>125</v>
      </c>
      <c r="H162" s="19" t="s">
        <v>5</v>
      </c>
      <c r="I162" s="51" t="s">
        <v>363</v>
      </c>
      <c r="J162" s="19" t="s">
        <v>724</v>
      </c>
      <c r="K162" s="19" t="s">
        <v>723</v>
      </c>
      <c r="L162" s="19" t="s">
        <v>725</v>
      </c>
      <c r="M162" s="19" t="s">
        <v>726</v>
      </c>
      <c r="N162" s="10" t="s">
        <v>29</v>
      </c>
      <c r="O162" s="10" t="s">
        <v>29</v>
      </c>
      <c r="P162" s="10" t="s">
        <v>29</v>
      </c>
      <c r="Q162" s="10" t="s">
        <v>29</v>
      </c>
      <c r="R162" s="11" t="s">
        <v>326</v>
      </c>
      <c r="S162" s="11" t="s">
        <v>326</v>
      </c>
      <c r="T162" s="11"/>
      <c r="U162" s="81"/>
    </row>
    <row r="163" spans="1:23" ht="46" x14ac:dyDescent="0.35">
      <c r="A163" s="124" t="s">
        <v>1886</v>
      </c>
      <c r="B163" s="60"/>
      <c r="C163" s="63" t="s">
        <v>96</v>
      </c>
      <c r="D163" s="16" t="s">
        <v>2</v>
      </c>
      <c r="E163" s="17" t="s">
        <v>131</v>
      </c>
      <c r="F163" s="18" t="s">
        <v>127</v>
      </c>
      <c r="G163" s="19" t="s">
        <v>540</v>
      </c>
      <c r="H163" s="116" t="str">
        <f>"Decision 
If yes, proceed to step "&amp;E164&amp;" 
If no, proceed to "&amp;E159&amp;""</f>
        <v>Decision 
If yes, proceed to step 3.1.6 
If no, proceed to 3.1.1</v>
      </c>
      <c r="I163" s="51" t="s">
        <v>363</v>
      </c>
      <c r="J163" s="19"/>
      <c r="K163" s="19"/>
      <c r="L163" s="19"/>
      <c r="M163" s="19"/>
      <c r="N163" s="10" t="s">
        <v>29</v>
      </c>
      <c r="O163" s="10" t="s">
        <v>29</v>
      </c>
      <c r="P163" s="10" t="s">
        <v>29</v>
      </c>
      <c r="Q163" s="10" t="s">
        <v>29</v>
      </c>
      <c r="R163" s="11" t="s">
        <v>326</v>
      </c>
      <c r="S163" s="11" t="s">
        <v>326</v>
      </c>
      <c r="T163" s="11"/>
      <c r="U163" s="81"/>
    </row>
    <row r="164" spans="1:23" ht="46" x14ac:dyDescent="0.35">
      <c r="B164" s="60"/>
      <c r="C164" s="63" t="s">
        <v>96</v>
      </c>
      <c r="D164" s="16" t="s">
        <v>2</v>
      </c>
      <c r="E164" s="17" t="s">
        <v>1010</v>
      </c>
      <c r="F164" s="18" t="s">
        <v>129</v>
      </c>
      <c r="G164" s="19" t="s">
        <v>130</v>
      </c>
      <c r="H164" s="19" t="s">
        <v>5</v>
      </c>
      <c r="I164" s="51" t="s">
        <v>359</v>
      </c>
      <c r="J164" s="19"/>
      <c r="K164" s="19"/>
      <c r="L164" s="19"/>
      <c r="M164" s="19"/>
      <c r="N164" s="10" t="s">
        <v>29</v>
      </c>
      <c r="O164" s="10" t="s">
        <v>29</v>
      </c>
      <c r="P164" s="10" t="s">
        <v>29</v>
      </c>
      <c r="Q164" s="10" t="s">
        <v>29</v>
      </c>
      <c r="R164" s="11" t="s">
        <v>326</v>
      </c>
      <c r="S164" s="11" t="s">
        <v>326</v>
      </c>
      <c r="T164" s="11"/>
      <c r="U164" s="81"/>
    </row>
    <row r="165" spans="1:23" ht="46" x14ac:dyDescent="0.35">
      <c r="B165" s="60"/>
      <c r="C165" s="63" t="s">
        <v>96</v>
      </c>
      <c r="D165" s="16" t="s">
        <v>2</v>
      </c>
      <c r="E165" s="17" t="s">
        <v>1014</v>
      </c>
      <c r="F165" s="18" t="s">
        <v>132</v>
      </c>
      <c r="G165" s="19" t="s">
        <v>133</v>
      </c>
      <c r="H165" s="19" t="s">
        <v>5</v>
      </c>
      <c r="I165" s="51" t="s">
        <v>359</v>
      </c>
      <c r="J165" s="19"/>
      <c r="K165" s="19"/>
      <c r="L165" s="19"/>
      <c r="M165" s="19"/>
      <c r="N165" s="10" t="s">
        <v>29</v>
      </c>
      <c r="O165" s="10" t="s">
        <v>29</v>
      </c>
      <c r="P165" s="10" t="s">
        <v>29</v>
      </c>
      <c r="Q165" s="10" t="s">
        <v>29</v>
      </c>
      <c r="R165" s="11" t="s">
        <v>326</v>
      </c>
      <c r="S165" s="11" t="s">
        <v>326</v>
      </c>
      <c r="T165" s="11"/>
      <c r="U165" s="81"/>
    </row>
    <row r="166" spans="1:23" ht="46" x14ac:dyDescent="0.35">
      <c r="B166" s="60"/>
      <c r="C166" s="63" t="s">
        <v>96</v>
      </c>
      <c r="D166" s="16" t="s">
        <v>2</v>
      </c>
      <c r="E166" s="17" t="s">
        <v>1018</v>
      </c>
      <c r="F166" s="18" t="s">
        <v>1020</v>
      </c>
      <c r="G166" s="19" t="s">
        <v>1021</v>
      </c>
      <c r="H166" s="116" t="str">
        <f>"Decision 
If yes, proceed to step "&amp;E167&amp;" 
If no, proceed to "&amp;E168&amp;""</f>
        <v>Decision 
If yes, proceed to step 3.1.9 
If no, proceed to 3.2</v>
      </c>
      <c r="I166" s="51" t="s">
        <v>363</v>
      </c>
      <c r="J166" s="19"/>
      <c r="K166" s="19"/>
      <c r="L166" s="19"/>
      <c r="M166" s="19"/>
      <c r="N166" s="10" t="s">
        <v>29</v>
      </c>
      <c r="O166" s="10" t="s">
        <v>29</v>
      </c>
      <c r="P166" s="10" t="s">
        <v>29</v>
      </c>
      <c r="Q166" s="10" t="s">
        <v>29</v>
      </c>
      <c r="R166" s="11" t="s">
        <v>1651</v>
      </c>
      <c r="S166" s="11" t="s">
        <v>1651</v>
      </c>
      <c r="T166" s="11"/>
      <c r="U166" s="81"/>
    </row>
    <row r="167" spans="1:23" ht="34.5" x14ac:dyDescent="0.35">
      <c r="B167" s="60"/>
      <c r="C167" s="63" t="s">
        <v>96</v>
      </c>
      <c r="D167" s="16" t="s">
        <v>2</v>
      </c>
      <c r="E167" s="17" t="s">
        <v>1022</v>
      </c>
      <c r="F167" s="18" t="s">
        <v>1023</v>
      </c>
      <c r="G167" s="19" t="s">
        <v>1024</v>
      </c>
      <c r="H167" s="19" t="s">
        <v>5</v>
      </c>
      <c r="I167" s="51" t="s">
        <v>363</v>
      </c>
      <c r="J167" s="19"/>
      <c r="K167" s="19" t="s">
        <v>1019</v>
      </c>
      <c r="L167" s="19"/>
      <c r="M167" s="19"/>
      <c r="N167" s="10" t="s">
        <v>29</v>
      </c>
      <c r="O167" s="10" t="s">
        <v>29</v>
      </c>
      <c r="P167" s="10" t="s">
        <v>29</v>
      </c>
      <c r="Q167" s="10" t="s">
        <v>29</v>
      </c>
      <c r="R167" s="11" t="s">
        <v>1651</v>
      </c>
      <c r="S167" s="11" t="s">
        <v>326</v>
      </c>
      <c r="T167" s="11"/>
      <c r="U167" s="81"/>
    </row>
    <row r="168" spans="1:23" ht="103.5" x14ac:dyDescent="0.35">
      <c r="B168" s="60"/>
      <c r="C168" s="63" t="s">
        <v>138</v>
      </c>
      <c r="D168" s="12" t="s">
        <v>1</v>
      </c>
      <c r="E168" s="13" t="s">
        <v>134</v>
      </c>
      <c r="F168" s="14" t="s">
        <v>135</v>
      </c>
      <c r="G168" s="15" t="s">
        <v>136</v>
      </c>
      <c r="H168" s="15" t="s">
        <v>5</v>
      </c>
      <c r="I168" s="50"/>
      <c r="J168" s="15" t="s">
        <v>728</v>
      </c>
      <c r="K168" s="15" t="s">
        <v>727</v>
      </c>
      <c r="L168" s="15" t="s">
        <v>729</v>
      </c>
      <c r="M168" s="15" t="s">
        <v>730</v>
      </c>
      <c r="N168" s="10" t="s">
        <v>28</v>
      </c>
      <c r="O168" s="10" t="s">
        <v>137</v>
      </c>
      <c r="P168" s="10" t="s">
        <v>94</v>
      </c>
      <c r="Q168" s="10" t="s">
        <v>94</v>
      </c>
      <c r="R168" s="11"/>
      <c r="S168" s="11"/>
      <c r="T168" s="11"/>
      <c r="U168" s="81"/>
    </row>
    <row r="169" spans="1:23" ht="69" x14ac:dyDescent="0.35">
      <c r="B169" s="60"/>
      <c r="C169" s="63" t="s">
        <v>141</v>
      </c>
      <c r="D169" s="16" t="s">
        <v>2</v>
      </c>
      <c r="E169" s="17" t="s">
        <v>139</v>
      </c>
      <c r="F169" s="18" t="s">
        <v>140</v>
      </c>
      <c r="G169" s="19" t="s">
        <v>544</v>
      </c>
      <c r="H169" s="19" t="s">
        <v>5</v>
      </c>
      <c r="I169" s="51" t="s">
        <v>359</v>
      </c>
      <c r="J169" s="19" t="s">
        <v>732</v>
      </c>
      <c r="K169" s="19" t="s">
        <v>731</v>
      </c>
      <c r="L169" s="19" t="s">
        <v>733</v>
      </c>
      <c r="M169" s="19" t="s">
        <v>734</v>
      </c>
      <c r="N169" s="10" t="s">
        <v>976</v>
      </c>
      <c r="O169" s="10" t="s">
        <v>1002</v>
      </c>
      <c r="P169" s="10" t="s">
        <v>94</v>
      </c>
      <c r="Q169" s="10" t="s">
        <v>94</v>
      </c>
      <c r="R169" s="11" t="s">
        <v>1651</v>
      </c>
      <c r="S169" s="11" t="s">
        <v>1651</v>
      </c>
      <c r="T169" s="11"/>
      <c r="U169" s="81"/>
    </row>
    <row r="170" spans="1:23" ht="34.5" x14ac:dyDescent="0.35">
      <c r="B170" s="60"/>
      <c r="C170" s="63" t="s">
        <v>141</v>
      </c>
      <c r="D170" s="16" t="s">
        <v>2</v>
      </c>
      <c r="E170" s="17" t="s">
        <v>142</v>
      </c>
      <c r="F170" s="18" t="s">
        <v>143</v>
      </c>
      <c r="G170" s="19" t="s">
        <v>541</v>
      </c>
      <c r="H170" s="19" t="s">
        <v>5</v>
      </c>
      <c r="I170" s="51" t="s">
        <v>359</v>
      </c>
      <c r="J170" s="19"/>
      <c r="K170" s="19"/>
      <c r="L170" s="19"/>
      <c r="M170" s="19"/>
      <c r="N170" s="10" t="s">
        <v>976</v>
      </c>
      <c r="O170" s="10" t="s">
        <v>984</v>
      </c>
      <c r="P170" s="10" t="s">
        <v>94</v>
      </c>
      <c r="Q170" s="10" t="s">
        <v>94</v>
      </c>
      <c r="R170" s="11" t="s">
        <v>326</v>
      </c>
      <c r="S170" s="11" t="s">
        <v>326</v>
      </c>
      <c r="T170" s="11"/>
      <c r="U170" s="81"/>
    </row>
    <row r="171" spans="1:23" ht="46" x14ac:dyDescent="0.35">
      <c r="B171" s="60"/>
      <c r="C171" s="63" t="s">
        <v>141</v>
      </c>
      <c r="D171" s="16" t="s">
        <v>2</v>
      </c>
      <c r="E171" s="17" t="s">
        <v>144</v>
      </c>
      <c r="F171" s="18" t="s">
        <v>127</v>
      </c>
      <c r="G171" s="19" t="s">
        <v>542</v>
      </c>
      <c r="H171" s="116" t="str">
        <f>"Decision 
If yes, proceed to step "&amp;E172&amp;" 
If no, proceed to "&amp;E169&amp;""</f>
        <v>Decision 
If yes, proceed to step 3.2.4 
If no, proceed to 3.2.1</v>
      </c>
      <c r="I171" s="51" t="s">
        <v>359</v>
      </c>
      <c r="J171" s="19"/>
      <c r="K171" s="19"/>
      <c r="L171" s="19"/>
      <c r="M171" s="19"/>
      <c r="N171" s="10" t="s">
        <v>975</v>
      </c>
      <c r="O171" s="10" t="s">
        <v>975</v>
      </c>
      <c r="P171" s="10" t="s">
        <v>94</v>
      </c>
      <c r="Q171" s="10" t="s">
        <v>94</v>
      </c>
      <c r="R171" s="11" t="s">
        <v>326</v>
      </c>
      <c r="S171" s="11" t="s">
        <v>326</v>
      </c>
      <c r="T171" s="11"/>
      <c r="U171" s="81"/>
    </row>
    <row r="172" spans="1:23" ht="57.5" x14ac:dyDescent="0.35">
      <c r="B172" s="60"/>
      <c r="C172" s="63" t="s">
        <v>138</v>
      </c>
      <c r="D172" s="16" t="s">
        <v>2</v>
      </c>
      <c r="E172" s="17" t="s">
        <v>145</v>
      </c>
      <c r="F172" s="18" t="s">
        <v>146</v>
      </c>
      <c r="G172" s="19" t="s">
        <v>147</v>
      </c>
      <c r="H172" s="19" t="s">
        <v>5</v>
      </c>
      <c r="I172" s="51" t="s">
        <v>359</v>
      </c>
      <c r="J172" s="19"/>
      <c r="K172" s="19"/>
      <c r="L172" s="19"/>
      <c r="M172" s="19"/>
      <c r="N172" s="10" t="s">
        <v>94</v>
      </c>
      <c r="O172" s="10" t="s">
        <v>137</v>
      </c>
      <c r="P172" s="10" t="s">
        <v>94</v>
      </c>
      <c r="Q172" s="10" t="s">
        <v>94</v>
      </c>
      <c r="R172" s="11" t="s">
        <v>326</v>
      </c>
      <c r="S172" s="11" t="s">
        <v>326</v>
      </c>
      <c r="T172" s="11"/>
      <c r="U172" s="81"/>
    </row>
    <row r="173" spans="1:23" ht="103.5" x14ac:dyDescent="0.35">
      <c r="B173" s="60"/>
      <c r="C173" s="63" t="s">
        <v>151</v>
      </c>
      <c r="D173" s="12" t="s">
        <v>1</v>
      </c>
      <c r="E173" s="13" t="s">
        <v>148</v>
      </c>
      <c r="F173" s="14" t="s">
        <v>149</v>
      </c>
      <c r="G173" s="15" t="s">
        <v>150</v>
      </c>
      <c r="H173" s="15" t="s">
        <v>5</v>
      </c>
      <c r="I173" s="50"/>
      <c r="J173" s="15" t="s">
        <v>736</v>
      </c>
      <c r="K173" s="15" t="s">
        <v>735</v>
      </c>
      <c r="L173" s="15" t="s">
        <v>737</v>
      </c>
      <c r="M173" s="15" t="s">
        <v>738</v>
      </c>
      <c r="N173" s="10" t="s">
        <v>28</v>
      </c>
      <c r="O173" s="10" t="s">
        <v>79</v>
      </c>
      <c r="P173" s="10" t="s">
        <v>94</v>
      </c>
      <c r="Q173" s="10" t="s">
        <v>94</v>
      </c>
      <c r="R173" s="11" t="s">
        <v>79</v>
      </c>
      <c r="S173" s="11" t="s">
        <v>79</v>
      </c>
      <c r="T173" s="11"/>
      <c r="U173" s="81"/>
    </row>
    <row r="174" spans="1:23" ht="34.5" x14ac:dyDescent="0.35">
      <c r="B174" s="60"/>
      <c r="C174" s="63" t="s">
        <v>43</v>
      </c>
      <c r="D174" s="16" t="s">
        <v>2</v>
      </c>
      <c r="E174" s="17" t="s">
        <v>152</v>
      </c>
      <c r="F174" s="18" t="s">
        <v>153</v>
      </c>
      <c r="G174" s="19" t="s">
        <v>154</v>
      </c>
      <c r="H174" s="19" t="s">
        <v>5</v>
      </c>
      <c r="I174" s="51"/>
      <c r="J174" s="19"/>
      <c r="K174" s="19"/>
      <c r="L174" s="19"/>
      <c r="M174" s="19"/>
      <c r="N174" s="10" t="s">
        <v>976</v>
      </c>
      <c r="O174" s="10" t="s">
        <v>79</v>
      </c>
      <c r="P174" s="10" t="s">
        <v>94</v>
      </c>
      <c r="Q174" s="10" t="s">
        <v>94</v>
      </c>
      <c r="R174" s="11" t="s">
        <v>79</v>
      </c>
      <c r="S174" s="11" t="s">
        <v>79</v>
      </c>
      <c r="T174" s="11" t="s">
        <v>1651</v>
      </c>
      <c r="U174" s="81"/>
    </row>
    <row r="175" spans="1:23" ht="34.5" x14ac:dyDescent="0.35">
      <c r="B175" s="60"/>
      <c r="C175" s="63" t="s">
        <v>43</v>
      </c>
      <c r="D175" s="20" t="s">
        <v>3</v>
      </c>
      <c r="E175" s="21" t="s">
        <v>545</v>
      </c>
      <c r="F175" s="22" t="s">
        <v>548</v>
      </c>
      <c r="G175" s="23" t="s">
        <v>549</v>
      </c>
      <c r="H175" s="23" t="s">
        <v>5</v>
      </c>
      <c r="I175" s="52" t="s">
        <v>363</v>
      </c>
      <c r="J175" s="23"/>
      <c r="K175" s="23"/>
      <c r="L175" s="23"/>
      <c r="M175" s="29"/>
      <c r="N175" s="32"/>
      <c r="O175" s="10"/>
      <c r="P175" s="32"/>
      <c r="Q175" s="10"/>
      <c r="R175" s="11" t="s">
        <v>79</v>
      </c>
      <c r="S175" s="11" t="s">
        <v>79</v>
      </c>
      <c r="T175" s="11"/>
      <c r="U175" s="81"/>
    </row>
    <row r="176" spans="1:23" x14ac:dyDescent="0.35">
      <c r="B176" s="60"/>
      <c r="C176" s="63" t="s">
        <v>43</v>
      </c>
      <c r="D176" s="20" t="s">
        <v>3</v>
      </c>
      <c r="E176" s="21" t="s">
        <v>552</v>
      </c>
      <c r="F176" s="22" t="s">
        <v>546</v>
      </c>
      <c r="G176" s="23" t="s">
        <v>550</v>
      </c>
      <c r="H176" s="23" t="s">
        <v>5</v>
      </c>
      <c r="I176" s="52" t="s">
        <v>363</v>
      </c>
      <c r="J176" s="23"/>
      <c r="K176" s="23"/>
      <c r="L176" s="23"/>
      <c r="M176" s="29"/>
      <c r="N176" s="32"/>
      <c r="O176" s="10"/>
      <c r="P176" s="32"/>
      <c r="Q176" s="10"/>
      <c r="R176" s="11" t="s">
        <v>79</v>
      </c>
      <c r="S176" s="11" t="s">
        <v>79</v>
      </c>
      <c r="T176" s="11"/>
      <c r="U176" s="81"/>
    </row>
    <row r="177" spans="2:23" ht="23" x14ac:dyDescent="0.35">
      <c r="B177" s="60"/>
      <c r="C177" s="63" t="s">
        <v>43</v>
      </c>
      <c r="D177" s="20" t="s">
        <v>3</v>
      </c>
      <c r="E177" s="21" t="s">
        <v>553</v>
      </c>
      <c r="F177" s="22" t="s">
        <v>547</v>
      </c>
      <c r="G177" s="23" t="s">
        <v>551</v>
      </c>
      <c r="H177" s="23" t="s">
        <v>5</v>
      </c>
      <c r="I177" s="52" t="s">
        <v>361</v>
      </c>
      <c r="J177" s="23"/>
      <c r="K177" s="23"/>
      <c r="L177" s="23"/>
      <c r="M177" s="29"/>
      <c r="N177" s="32"/>
      <c r="O177" s="10"/>
      <c r="P177" s="32"/>
      <c r="Q177" s="10"/>
      <c r="R177" s="11" t="s">
        <v>79</v>
      </c>
      <c r="S177" s="11" t="s">
        <v>79</v>
      </c>
      <c r="T177" s="11"/>
      <c r="U177" s="81"/>
    </row>
    <row r="178" spans="2:23" ht="80.5" x14ac:dyDescent="0.35">
      <c r="B178" s="60"/>
      <c r="C178" s="63" t="s">
        <v>43</v>
      </c>
      <c r="D178" s="16" t="s">
        <v>2</v>
      </c>
      <c r="E178" s="17" t="s">
        <v>155</v>
      </c>
      <c r="F178" s="18" t="s">
        <v>156</v>
      </c>
      <c r="G178" s="19" t="s">
        <v>157</v>
      </c>
      <c r="H178" s="19" t="s">
        <v>5</v>
      </c>
      <c r="I178" s="51"/>
      <c r="J178" s="19" t="s">
        <v>740</v>
      </c>
      <c r="K178" s="19" t="s">
        <v>739</v>
      </c>
      <c r="L178" s="19" t="s">
        <v>741</v>
      </c>
      <c r="M178" s="19" t="s">
        <v>742</v>
      </c>
      <c r="N178" s="10" t="s">
        <v>976</v>
      </c>
      <c r="O178" s="10" t="s">
        <v>79</v>
      </c>
      <c r="P178" s="10" t="s">
        <v>94</v>
      </c>
      <c r="Q178" s="10" t="s">
        <v>94</v>
      </c>
      <c r="R178" s="11" t="s">
        <v>79</v>
      </c>
      <c r="S178" s="11"/>
      <c r="T178" s="11"/>
      <c r="U178" s="81"/>
    </row>
    <row r="179" spans="2:23" ht="23" x14ac:dyDescent="0.35">
      <c r="B179" s="60"/>
      <c r="C179" s="63" t="s">
        <v>43</v>
      </c>
      <c r="D179" s="20" t="s">
        <v>3</v>
      </c>
      <c r="E179" s="21" t="s">
        <v>558</v>
      </c>
      <c r="F179" s="22" t="s">
        <v>554</v>
      </c>
      <c r="G179" s="23" t="s">
        <v>559</v>
      </c>
      <c r="H179" s="23" t="s">
        <v>5</v>
      </c>
      <c r="I179" s="52" t="s">
        <v>363</v>
      </c>
      <c r="J179" s="23"/>
      <c r="K179" s="23"/>
      <c r="L179" s="23"/>
      <c r="M179" s="29"/>
      <c r="N179" s="32"/>
      <c r="O179" s="10"/>
      <c r="P179" s="32"/>
      <c r="Q179" s="10"/>
      <c r="R179" s="11" t="s">
        <v>79</v>
      </c>
      <c r="S179" s="11" t="s">
        <v>79</v>
      </c>
      <c r="T179" s="11"/>
      <c r="U179" s="81"/>
    </row>
    <row r="180" spans="2:23" ht="23" x14ac:dyDescent="0.35">
      <c r="B180" s="60"/>
      <c r="C180" s="63" t="s">
        <v>43</v>
      </c>
      <c r="D180" s="20" t="s">
        <v>3</v>
      </c>
      <c r="E180" s="21" t="s">
        <v>569</v>
      </c>
      <c r="F180" s="22" t="s">
        <v>555</v>
      </c>
      <c r="G180" s="23" t="s">
        <v>562</v>
      </c>
      <c r="H180" s="23" t="s">
        <v>5</v>
      </c>
      <c r="I180" s="52" t="s">
        <v>359</v>
      </c>
      <c r="J180" s="23"/>
      <c r="K180" s="23"/>
      <c r="L180" s="23"/>
      <c r="M180" s="29"/>
      <c r="N180" s="32"/>
      <c r="O180" s="10"/>
      <c r="P180" s="32"/>
      <c r="Q180" s="10"/>
      <c r="R180" s="11" t="s">
        <v>364</v>
      </c>
      <c r="S180" s="11" t="s">
        <v>79</v>
      </c>
      <c r="T180" s="11"/>
      <c r="U180" s="81"/>
    </row>
    <row r="181" spans="2:23" ht="23" x14ac:dyDescent="0.35">
      <c r="B181" s="60"/>
      <c r="C181" s="63" t="s">
        <v>43</v>
      </c>
      <c r="D181" s="20" t="s">
        <v>3</v>
      </c>
      <c r="E181" s="21" t="s">
        <v>570</v>
      </c>
      <c r="F181" s="22" t="s">
        <v>556</v>
      </c>
      <c r="G181" s="23" t="s">
        <v>560</v>
      </c>
      <c r="H181" s="23" t="s">
        <v>5</v>
      </c>
      <c r="I181" s="52" t="s">
        <v>361</v>
      </c>
      <c r="J181" s="23"/>
      <c r="K181" s="23"/>
      <c r="L181" s="23"/>
      <c r="M181" s="29"/>
      <c r="N181" s="32"/>
      <c r="O181" s="10"/>
      <c r="P181" s="32"/>
      <c r="Q181" s="10"/>
      <c r="R181" s="11" t="s">
        <v>79</v>
      </c>
      <c r="S181" s="11" t="s">
        <v>326</v>
      </c>
      <c r="T181" s="11"/>
      <c r="U181" s="81"/>
    </row>
    <row r="182" spans="2:23" ht="23" x14ac:dyDescent="0.35">
      <c r="B182" s="60"/>
      <c r="C182" s="63" t="s">
        <v>43</v>
      </c>
      <c r="D182" s="20" t="s">
        <v>3</v>
      </c>
      <c r="E182" s="21" t="s">
        <v>571</v>
      </c>
      <c r="F182" s="22" t="s">
        <v>557</v>
      </c>
      <c r="G182" s="23" t="s">
        <v>561</v>
      </c>
      <c r="H182" s="23" t="s">
        <v>5</v>
      </c>
      <c r="I182" s="52" t="s">
        <v>363</v>
      </c>
      <c r="J182" s="23"/>
      <c r="K182" s="23"/>
      <c r="L182" s="23"/>
      <c r="M182" s="29"/>
      <c r="N182" s="32"/>
      <c r="O182" s="10"/>
      <c r="P182" s="32"/>
      <c r="Q182" s="10"/>
      <c r="R182" s="11" t="s">
        <v>79</v>
      </c>
      <c r="S182" s="11" t="s">
        <v>326</v>
      </c>
      <c r="T182" s="11" t="s">
        <v>326</v>
      </c>
      <c r="U182" s="81"/>
    </row>
    <row r="183" spans="2:23" ht="57.5" x14ac:dyDescent="0.35">
      <c r="B183" s="60"/>
      <c r="C183" s="63" t="s">
        <v>43</v>
      </c>
      <c r="D183" s="20" t="s">
        <v>3</v>
      </c>
      <c r="E183" s="21" t="s">
        <v>572</v>
      </c>
      <c r="F183" s="22" t="s">
        <v>573</v>
      </c>
      <c r="G183" s="23" t="s">
        <v>574</v>
      </c>
      <c r="H183" s="109" t="str">
        <f>"Decision 
If yes, proceed to step "&amp;E184&amp;" 
If no, proceed to "&amp;E179&amp;""</f>
        <v>Decision 
If yes, proceed to step 3.3.3 
If no, proceed to 3.3.2.1</v>
      </c>
      <c r="I183" s="52" t="s">
        <v>363</v>
      </c>
      <c r="J183" s="23"/>
      <c r="K183" s="23"/>
      <c r="L183" s="23"/>
      <c r="M183" s="29"/>
      <c r="N183" s="32"/>
      <c r="O183" s="10"/>
      <c r="P183" s="32"/>
      <c r="Q183" s="10"/>
      <c r="R183" s="11" t="s">
        <v>79</v>
      </c>
      <c r="S183" s="11" t="s">
        <v>79</v>
      </c>
      <c r="T183" s="11"/>
      <c r="U183" s="81"/>
    </row>
    <row r="184" spans="2:23" ht="46" x14ac:dyDescent="0.35">
      <c r="B184" s="60"/>
      <c r="C184" s="63" t="s">
        <v>151</v>
      </c>
      <c r="D184" s="16" t="s">
        <v>2</v>
      </c>
      <c r="E184" s="17" t="s">
        <v>158</v>
      </c>
      <c r="F184" s="18" t="s">
        <v>159</v>
      </c>
      <c r="G184" s="19" t="s">
        <v>160</v>
      </c>
      <c r="H184" s="19" t="s">
        <v>5</v>
      </c>
      <c r="I184" s="51"/>
      <c r="J184" s="19"/>
      <c r="K184" s="19"/>
      <c r="L184" s="19"/>
      <c r="M184" s="19"/>
      <c r="N184" s="10" t="s">
        <v>94</v>
      </c>
      <c r="O184" s="10" t="s">
        <v>79</v>
      </c>
      <c r="P184" s="10" t="s">
        <v>94</v>
      </c>
      <c r="Q184" s="10" t="s">
        <v>94</v>
      </c>
      <c r="R184" s="11" t="s">
        <v>79</v>
      </c>
      <c r="S184" s="11" t="s">
        <v>326</v>
      </c>
      <c r="T184" s="11"/>
      <c r="U184" s="81"/>
    </row>
    <row r="185" spans="2:23" ht="23" x14ac:dyDescent="0.35">
      <c r="B185" s="60"/>
      <c r="C185" s="63" t="s">
        <v>43</v>
      </c>
      <c r="D185" s="20" t="s">
        <v>3</v>
      </c>
      <c r="E185" s="21" t="s">
        <v>564</v>
      </c>
      <c r="F185" s="22" t="s">
        <v>563</v>
      </c>
      <c r="G185" s="23" t="s">
        <v>568</v>
      </c>
      <c r="H185" s="23" t="s">
        <v>5</v>
      </c>
      <c r="I185" s="52" t="s">
        <v>359</v>
      </c>
      <c r="J185" s="23"/>
      <c r="K185" s="23"/>
      <c r="L185" s="23"/>
      <c r="M185" s="29"/>
      <c r="N185" s="32"/>
      <c r="O185" s="10"/>
      <c r="P185" s="32"/>
      <c r="Q185" s="10"/>
      <c r="R185" s="11" t="s">
        <v>364</v>
      </c>
      <c r="S185" s="11" t="s">
        <v>79</v>
      </c>
      <c r="T185" s="11"/>
      <c r="U185" s="81"/>
    </row>
    <row r="186" spans="2:23" ht="23" x14ac:dyDescent="0.35">
      <c r="B186" s="60"/>
      <c r="C186" s="63" t="s">
        <v>96</v>
      </c>
      <c r="D186" s="20" t="s">
        <v>3</v>
      </c>
      <c r="E186" s="21" t="s">
        <v>567</v>
      </c>
      <c r="F186" s="22" t="s">
        <v>565</v>
      </c>
      <c r="G186" s="23" t="s">
        <v>566</v>
      </c>
      <c r="H186" s="23" t="s">
        <v>5</v>
      </c>
      <c r="I186" s="52" t="s">
        <v>359</v>
      </c>
      <c r="J186" s="23"/>
      <c r="K186" s="23"/>
      <c r="L186" s="23"/>
      <c r="M186" s="29"/>
      <c r="N186" s="32"/>
      <c r="O186" s="10"/>
      <c r="P186" s="32"/>
      <c r="Q186" s="10"/>
      <c r="R186" s="11" t="s">
        <v>364</v>
      </c>
      <c r="S186" s="11" t="s">
        <v>79</v>
      </c>
      <c r="T186" s="11"/>
      <c r="U186" s="81"/>
    </row>
    <row r="187" spans="2:23" ht="80.5" x14ac:dyDescent="0.35">
      <c r="B187" s="60"/>
      <c r="C187" s="63" t="s">
        <v>164</v>
      </c>
      <c r="D187" s="12" t="s">
        <v>1</v>
      </c>
      <c r="E187" s="13" t="s">
        <v>161</v>
      </c>
      <c r="F187" s="14" t="s">
        <v>162</v>
      </c>
      <c r="G187" s="15" t="s">
        <v>163</v>
      </c>
      <c r="H187" s="15" t="s">
        <v>5</v>
      </c>
      <c r="I187" s="50"/>
      <c r="J187" s="15" t="s">
        <v>1433</v>
      </c>
      <c r="K187" s="15" t="s">
        <v>743</v>
      </c>
      <c r="L187" s="15" t="s">
        <v>744</v>
      </c>
      <c r="M187" s="15" t="s">
        <v>1408</v>
      </c>
      <c r="N187" s="10" t="s">
        <v>29</v>
      </c>
      <c r="O187" s="10" t="s">
        <v>29</v>
      </c>
      <c r="P187" s="10" t="s">
        <v>29</v>
      </c>
      <c r="Q187" s="10" t="s">
        <v>29</v>
      </c>
      <c r="R187" s="11" t="s">
        <v>326</v>
      </c>
      <c r="S187" s="11" t="s">
        <v>326</v>
      </c>
      <c r="T187" s="11"/>
      <c r="U187" s="81"/>
      <c r="W187" s="93" t="s">
        <v>1421</v>
      </c>
    </row>
    <row r="188" spans="2:23" ht="80.5" x14ac:dyDescent="0.35">
      <c r="B188" s="60"/>
      <c r="C188" s="63" t="s">
        <v>96</v>
      </c>
      <c r="D188" s="16" t="s">
        <v>2</v>
      </c>
      <c r="E188" s="17" t="s">
        <v>165</v>
      </c>
      <c r="F188" s="18" t="s">
        <v>166</v>
      </c>
      <c r="G188" s="19" t="s">
        <v>167</v>
      </c>
      <c r="H188" s="19" t="s">
        <v>5</v>
      </c>
      <c r="I188" s="51"/>
      <c r="J188" s="19" t="s">
        <v>746</v>
      </c>
      <c r="K188" s="19" t="s">
        <v>745</v>
      </c>
      <c r="L188" s="19" t="s">
        <v>747</v>
      </c>
      <c r="M188" s="19" t="s">
        <v>748</v>
      </c>
      <c r="N188" s="10" t="s">
        <v>29</v>
      </c>
      <c r="O188" s="10" t="s">
        <v>29</v>
      </c>
      <c r="P188" s="10" t="s">
        <v>29</v>
      </c>
      <c r="Q188" s="10" t="s">
        <v>29</v>
      </c>
      <c r="R188" s="11" t="s">
        <v>326</v>
      </c>
      <c r="S188" s="11" t="s">
        <v>326</v>
      </c>
      <c r="T188" s="11"/>
      <c r="U188" s="81"/>
    </row>
    <row r="189" spans="2:23" ht="23" x14ac:dyDescent="0.35">
      <c r="B189" s="60"/>
      <c r="C189" s="63" t="s">
        <v>96</v>
      </c>
      <c r="D189" s="20" t="s">
        <v>3</v>
      </c>
      <c r="E189" s="21" t="s">
        <v>1025</v>
      </c>
      <c r="F189" s="22" t="s">
        <v>1029</v>
      </c>
      <c r="G189" s="23" t="s">
        <v>1030</v>
      </c>
      <c r="H189" s="23" t="s">
        <v>5</v>
      </c>
      <c r="I189" s="52" t="s">
        <v>363</v>
      </c>
      <c r="J189" s="23"/>
      <c r="K189" s="23"/>
      <c r="L189" s="23"/>
      <c r="M189" s="23"/>
      <c r="N189" s="10" t="s">
        <v>29</v>
      </c>
      <c r="O189" s="10" t="s">
        <v>29</v>
      </c>
      <c r="P189" s="10" t="s">
        <v>29</v>
      </c>
      <c r="Q189" s="10" t="s">
        <v>29</v>
      </c>
      <c r="R189" s="11" t="s">
        <v>326</v>
      </c>
      <c r="S189" s="11" t="s">
        <v>326</v>
      </c>
      <c r="T189" s="11"/>
      <c r="U189" s="81"/>
    </row>
    <row r="190" spans="2:23" ht="23" x14ac:dyDescent="0.35">
      <c r="B190" s="60"/>
      <c r="C190" s="63" t="s">
        <v>96</v>
      </c>
      <c r="D190" s="20" t="s">
        <v>3</v>
      </c>
      <c r="E190" s="21" t="s">
        <v>1027</v>
      </c>
      <c r="F190" s="22" t="s">
        <v>1026</v>
      </c>
      <c r="G190" s="23" t="s">
        <v>1028</v>
      </c>
      <c r="H190" s="23" t="s">
        <v>5</v>
      </c>
      <c r="I190" s="52" t="s">
        <v>361</v>
      </c>
      <c r="J190" s="23"/>
      <c r="K190" s="23"/>
      <c r="L190" s="23"/>
      <c r="M190" s="23"/>
      <c r="N190" s="10" t="s">
        <v>29</v>
      </c>
      <c r="O190" s="10" t="s">
        <v>29</v>
      </c>
      <c r="P190" s="10" t="s">
        <v>29</v>
      </c>
      <c r="Q190" s="10" t="s">
        <v>29</v>
      </c>
      <c r="R190" s="11" t="s">
        <v>326</v>
      </c>
      <c r="S190" s="11" t="s">
        <v>326</v>
      </c>
      <c r="T190" s="11"/>
      <c r="U190" s="81"/>
    </row>
    <row r="191" spans="2:23" ht="23" x14ac:dyDescent="0.35">
      <c r="B191" s="60"/>
      <c r="C191" s="63" t="s">
        <v>96</v>
      </c>
      <c r="D191" s="16" t="s">
        <v>2</v>
      </c>
      <c r="E191" s="17" t="s">
        <v>168</v>
      </c>
      <c r="F191" s="18" t="s">
        <v>169</v>
      </c>
      <c r="G191" s="19" t="s">
        <v>170</v>
      </c>
      <c r="H191" s="19" t="s">
        <v>5</v>
      </c>
      <c r="I191" s="51"/>
      <c r="J191" s="19"/>
      <c r="K191" s="19"/>
      <c r="L191" s="19"/>
      <c r="M191" s="19"/>
      <c r="N191" s="10" t="s">
        <v>29</v>
      </c>
      <c r="O191" s="10" t="s">
        <v>29</v>
      </c>
      <c r="P191" s="10" t="s">
        <v>29</v>
      </c>
      <c r="Q191" s="10" t="s">
        <v>29</v>
      </c>
      <c r="R191" s="11" t="s">
        <v>326</v>
      </c>
      <c r="S191" s="11" t="s">
        <v>326</v>
      </c>
      <c r="T191" s="11"/>
      <c r="U191" s="81"/>
    </row>
    <row r="192" spans="2:23" ht="57.5" x14ac:dyDescent="0.35">
      <c r="B192" s="60"/>
      <c r="C192" s="63" t="s">
        <v>96</v>
      </c>
      <c r="D192" s="20" t="s">
        <v>3</v>
      </c>
      <c r="E192" s="30" t="s">
        <v>171</v>
      </c>
      <c r="F192" s="28" t="s">
        <v>172</v>
      </c>
      <c r="G192" s="23" t="s">
        <v>173</v>
      </c>
      <c r="H192" s="109" t="str">
        <f>"Decision 
If yes, proceed to step "&amp;E193&amp;" 
If no, proceed to "&amp;E189&amp;""</f>
        <v>Decision 
If yes, proceed to step 3.4.2.2 
If no, proceed to 3.4.1.1</v>
      </c>
      <c r="I192" s="52" t="s">
        <v>363</v>
      </c>
      <c r="J192" s="23"/>
      <c r="K192" s="23"/>
      <c r="L192" s="23"/>
      <c r="M192" s="23"/>
      <c r="N192" s="10" t="s">
        <v>29</v>
      </c>
      <c r="O192" s="10" t="s">
        <v>29</v>
      </c>
      <c r="P192" s="10" t="s">
        <v>29</v>
      </c>
      <c r="Q192" s="10" t="s">
        <v>29</v>
      </c>
      <c r="R192" s="11" t="s">
        <v>326</v>
      </c>
      <c r="S192" s="11" t="s">
        <v>326</v>
      </c>
      <c r="T192" s="11"/>
      <c r="U192" s="81"/>
    </row>
    <row r="193" spans="1:30" ht="46" x14ac:dyDescent="0.35">
      <c r="B193" s="60"/>
      <c r="C193" s="63" t="s">
        <v>96</v>
      </c>
      <c r="D193" s="20" t="s">
        <v>3</v>
      </c>
      <c r="E193" s="30" t="s">
        <v>174</v>
      </c>
      <c r="F193" s="28" t="s">
        <v>175</v>
      </c>
      <c r="G193" s="23" t="s">
        <v>176</v>
      </c>
      <c r="H193" s="23" t="s">
        <v>5</v>
      </c>
      <c r="I193" s="52" t="s">
        <v>363</v>
      </c>
      <c r="J193" s="23"/>
      <c r="K193" s="23"/>
      <c r="L193" s="23"/>
      <c r="M193" s="23"/>
      <c r="N193" s="10" t="s">
        <v>29</v>
      </c>
      <c r="O193" s="10" t="s">
        <v>29</v>
      </c>
      <c r="P193" s="10" t="s">
        <v>29</v>
      </c>
      <c r="Q193" s="10" t="s">
        <v>29</v>
      </c>
      <c r="R193" s="11" t="s">
        <v>326</v>
      </c>
      <c r="S193" s="11" t="s">
        <v>326</v>
      </c>
      <c r="T193" s="11"/>
      <c r="U193" s="81"/>
    </row>
    <row r="194" spans="1:30" ht="23" x14ac:dyDescent="0.35">
      <c r="B194" s="60"/>
      <c r="C194" s="63" t="s">
        <v>1034</v>
      </c>
      <c r="D194" s="20" t="s">
        <v>3</v>
      </c>
      <c r="E194" s="30" t="s">
        <v>177</v>
      </c>
      <c r="F194" s="22" t="s">
        <v>1031</v>
      </c>
      <c r="G194" s="23" t="s">
        <v>1033</v>
      </c>
      <c r="H194" s="23" t="s">
        <v>5</v>
      </c>
      <c r="I194" s="52" t="s">
        <v>363</v>
      </c>
      <c r="J194" s="23"/>
      <c r="K194" s="23"/>
      <c r="L194" s="23"/>
      <c r="M194" s="23"/>
      <c r="N194" s="10" t="s">
        <v>29</v>
      </c>
      <c r="O194" s="10" t="s">
        <v>29</v>
      </c>
      <c r="P194" s="10" t="s">
        <v>29</v>
      </c>
      <c r="Q194" s="10" t="s">
        <v>29</v>
      </c>
      <c r="R194" s="11" t="s">
        <v>326</v>
      </c>
      <c r="S194" s="11" t="s">
        <v>326</v>
      </c>
      <c r="T194" s="11"/>
      <c r="U194" s="81"/>
    </row>
    <row r="195" spans="1:30" ht="57.5" x14ac:dyDescent="0.35">
      <c r="B195" s="60"/>
      <c r="C195" s="63" t="s">
        <v>96</v>
      </c>
      <c r="D195" s="20" t="s">
        <v>3</v>
      </c>
      <c r="E195" s="30" t="s">
        <v>180</v>
      </c>
      <c r="F195" s="28" t="s">
        <v>178</v>
      </c>
      <c r="G195" s="23" t="s">
        <v>179</v>
      </c>
      <c r="H195" s="23" t="str">
        <f>"Decision 
If yes, proceed to step "&amp;E196&amp;" 
If no, proceed to "&amp;E189&amp;""</f>
        <v>Decision 
If yes, proceed to step 3.4.2.5 
If no, proceed to 3.4.1.1</v>
      </c>
      <c r="I195" s="52" t="s">
        <v>363</v>
      </c>
      <c r="J195" s="23"/>
      <c r="K195" s="23"/>
      <c r="L195" s="23"/>
      <c r="M195" s="23"/>
      <c r="N195" s="10" t="s">
        <v>29</v>
      </c>
      <c r="O195" s="10" t="s">
        <v>29</v>
      </c>
      <c r="P195" s="10" t="s">
        <v>29</v>
      </c>
      <c r="Q195" s="10" t="s">
        <v>29</v>
      </c>
      <c r="R195" s="11" t="s">
        <v>326</v>
      </c>
      <c r="S195" s="11" t="s">
        <v>326</v>
      </c>
      <c r="T195" s="11"/>
      <c r="U195" s="81"/>
    </row>
    <row r="196" spans="1:30" ht="23" x14ac:dyDescent="0.35">
      <c r="B196" s="60"/>
      <c r="C196" s="63" t="s">
        <v>96</v>
      </c>
      <c r="D196" s="20" t="s">
        <v>3</v>
      </c>
      <c r="E196" s="30" t="s">
        <v>1032</v>
      </c>
      <c r="F196" s="28" t="s">
        <v>181</v>
      </c>
      <c r="G196" s="23" t="s">
        <v>1035</v>
      </c>
      <c r="H196" s="23" t="s">
        <v>5</v>
      </c>
      <c r="I196" s="52" t="s">
        <v>363</v>
      </c>
      <c r="J196" s="23"/>
      <c r="K196" s="23"/>
      <c r="L196" s="23"/>
      <c r="M196" s="23"/>
      <c r="N196" s="10" t="s">
        <v>29</v>
      </c>
      <c r="O196" s="10" t="s">
        <v>29</v>
      </c>
      <c r="P196" s="10" t="s">
        <v>29</v>
      </c>
      <c r="Q196" s="10" t="s">
        <v>29</v>
      </c>
      <c r="R196" s="11" t="s">
        <v>326</v>
      </c>
      <c r="S196" s="11" t="s">
        <v>326</v>
      </c>
      <c r="T196" s="11"/>
      <c r="U196" s="81"/>
    </row>
    <row r="197" spans="1:30" ht="23" x14ac:dyDescent="0.35">
      <c r="B197" s="60"/>
      <c r="C197" s="63" t="s">
        <v>96</v>
      </c>
      <c r="D197" s="16" t="s">
        <v>2</v>
      </c>
      <c r="E197" s="17" t="s">
        <v>182</v>
      </c>
      <c r="F197" s="18" t="s">
        <v>183</v>
      </c>
      <c r="G197" s="19" t="s">
        <v>184</v>
      </c>
      <c r="H197" s="19" t="s">
        <v>5</v>
      </c>
      <c r="I197" s="51"/>
      <c r="J197" s="19"/>
      <c r="K197" s="19"/>
      <c r="L197" s="19"/>
      <c r="M197" s="19"/>
      <c r="N197" s="10" t="s">
        <v>29</v>
      </c>
      <c r="O197" s="10" t="s">
        <v>29</v>
      </c>
      <c r="P197" s="10" t="s">
        <v>29</v>
      </c>
      <c r="Q197" s="10" t="s">
        <v>29</v>
      </c>
      <c r="R197" s="11" t="s">
        <v>326</v>
      </c>
      <c r="S197" s="11" t="s">
        <v>326</v>
      </c>
      <c r="T197" s="11"/>
      <c r="U197" s="81"/>
    </row>
    <row r="198" spans="1:30" ht="58" x14ac:dyDescent="0.35">
      <c r="B198" s="60"/>
      <c r="C198" s="63" t="s">
        <v>164</v>
      </c>
      <c r="D198" s="16" t="s">
        <v>2</v>
      </c>
      <c r="E198" s="17" t="s">
        <v>185</v>
      </c>
      <c r="F198" s="18" t="s">
        <v>186</v>
      </c>
      <c r="G198" s="19" t="s">
        <v>187</v>
      </c>
      <c r="H198" s="19" t="s">
        <v>5</v>
      </c>
      <c r="I198" s="51"/>
      <c r="J198" s="19" t="s">
        <v>1434</v>
      </c>
      <c r="K198" s="19" t="s">
        <v>749</v>
      </c>
      <c r="L198" s="19" t="s">
        <v>750</v>
      </c>
      <c r="M198" s="19" t="s">
        <v>751</v>
      </c>
      <c r="N198" s="10" t="s">
        <v>29</v>
      </c>
      <c r="O198" s="10" t="s">
        <v>29</v>
      </c>
      <c r="P198" s="10" t="s">
        <v>29</v>
      </c>
      <c r="Q198" s="10" t="s">
        <v>29</v>
      </c>
      <c r="R198" s="11" t="s">
        <v>326</v>
      </c>
      <c r="S198" s="11" t="s">
        <v>326</v>
      </c>
      <c r="T198" s="11"/>
      <c r="U198" s="81"/>
      <c r="W198" s="93" t="s">
        <v>1422</v>
      </c>
    </row>
    <row r="199" spans="1:30" ht="57.5" x14ac:dyDescent="0.35">
      <c r="B199" s="60"/>
      <c r="C199" s="63" t="s">
        <v>96</v>
      </c>
      <c r="D199" s="20" t="s">
        <v>3</v>
      </c>
      <c r="E199" s="21" t="s">
        <v>1037</v>
      </c>
      <c r="F199" s="22" t="s">
        <v>1036</v>
      </c>
      <c r="G199" s="23" t="s">
        <v>1040</v>
      </c>
      <c r="H199" s="109" t="str">
        <f>"Decision 
If yes, proceed to step "&amp;E200&amp;" 
If no, proceed to "&amp;E189&amp;""</f>
        <v>Decision 
If yes, proceed to step 3.4.4.2 
If no, proceed to 3.4.1.1</v>
      </c>
      <c r="I199" s="52" t="s">
        <v>359</v>
      </c>
      <c r="J199" s="23"/>
      <c r="K199" s="23"/>
      <c r="L199" s="23"/>
      <c r="M199" s="23"/>
      <c r="N199" s="10" t="s">
        <v>29</v>
      </c>
      <c r="O199" s="10" t="s">
        <v>29</v>
      </c>
      <c r="P199" s="10" t="s">
        <v>29</v>
      </c>
      <c r="Q199" s="10" t="s">
        <v>29</v>
      </c>
      <c r="R199" s="11" t="s">
        <v>364</v>
      </c>
      <c r="S199" s="11" t="s">
        <v>326</v>
      </c>
      <c r="T199" s="11"/>
      <c r="U199" s="81"/>
    </row>
    <row r="200" spans="1:30" ht="34.5" x14ac:dyDescent="0.35">
      <c r="B200" s="60"/>
      <c r="C200" s="63" t="s">
        <v>164</v>
      </c>
      <c r="D200" s="20" t="s">
        <v>3</v>
      </c>
      <c r="E200" s="21" t="s">
        <v>1038</v>
      </c>
      <c r="F200" s="22" t="s">
        <v>1041</v>
      </c>
      <c r="G200" s="23" t="s">
        <v>1042</v>
      </c>
      <c r="H200" s="23" t="s">
        <v>5</v>
      </c>
      <c r="I200" s="52" t="s">
        <v>359</v>
      </c>
      <c r="J200" s="23"/>
      <c r="K200" s="23"/>
      <c r="L200" s="23"/>
      <c r="M200" s="23"/>
      <c r="N200" s="10" t="s">
        <v>29</v>
      </c>
      <c r="O200" s="10" t="s">
        <v>29</v>
      </c>
      <c r="P200" s="10" t="s">
        <v>29</v>
      </c>
      <c r="Q200" s="10" t="s">
        <v>29</v>
      </c>
      <c r="R200" s="11" t="s">
        <v>364</v>
      </c>
      <c r="S200" s="11" t="s">
        <v>326</v>
      </c>
      <c r="T200" s="11"/>
      <c r="U200" s="81"/>
    </row>
    <row r="201" spans="1:30" ht="23" x14ac:dyDescent="0.35">
      <c r="B201" s="60"/>
      <c r="C201" s="63" t="s">
        <v>164</v>
      </c>
      <c r="D201" s="20" t="s">
        <v>3</v>
      </c>
      <c r="E201" s="21" t="s">
        <v>1039</v>
      </c>
      <c r="F201" s="22" t="s">
        <v>1043</v>
      </c>
      <c r="G201" s="23" t="s">
        <v>1044</v>
      </c>
      <c r="H201" s="23" t="s">
        <v>5</v>
      </c>
      <c r="I201" s="52" t="s">
        <v>359</v>
      </c>
      <c r="J201" s="23"/>
      <c r="K201" s="23"/>
      <c r="L201" s="23"/>
      <c r="M201" s="23"/>
      <c r="N201" s="10" t="s">
        <v>29</v>
      </c>
      <c r="O201" s="10" t="s">
        <v>29</v>
      </c>
      <c r="P201" s="10" t="s">
        <v>29</v>
      </c>
      <c r="Q201" s="10" t="s">
        <v>29</v>
      </c>
      <c r="R201" s="11" t="s">
        <v>364</v>
      </c>
      <c r="S201" s="11" t="s">
        <v>326</v>
      </c>
      <c r="T201" s="11"/>
      <c r="U201" s="81"/>
    </row>
    <row r="202" spans="1:30" ht="115" x14ac:dyDescent="0.35">
      <c r="B202" s="60"/>
      <c r="C202" s="63" t="s">
        <v>43</v>
      </c>
      <c r="D202" s="38" t="s">
        <v>0</v>
      </c>
      <c r="E202" s="39" t="s">
        <v>188</v>
      </c>
      <c r="F202" s="40" t="s">
        <v>189</v>
      </c>
      <c r="G202" s="41" t="s">
        <v>190</v>
      </c>
      <c r="H202" s="41" t="s">
        <v>5</v>
      </c>
      <c r="I202" s="54"/>
      <c r="J202" s="9" t="s">
        <v>753</v>
      </c>
      <c r="K202" s="9" t="s">
        <v>752</v>
      </c>
      <c r="L202" s="9" t="s">
        <v>754</v>
      </c>
      <c r="M202" s="9" t="s">
        <v>397</v>
      </c>
      <c r="N202" s="32"/>
      <c r="O202" s="32"/>
      <c r="P202" s="32"/>
      <c r="Q202" s="32"/>
      <c r="R202" s="33" t="s">
        <v>79</v>
      </c>
      <c r="S202" s="33" t="s">
        <v>79</v>
      </c>
      <c r="T202" s="33"/>
      <c r="U202" s="84"/>
    </row>
    <row r="203" spans="1:30" ht="92" x14ac:dyDescent="0.35">
      <c r="B203" s="60"/>
      <c r="C203" s="63" t="s">
        <v>43</v>
      </c>
      <c r="D203" s="42" t="s">
        <v>1</v>
      </c>
      <c r="E203" s="43" t="s">
        <v>191</v>
      </c>
      <c r="F203" s="27" t="s">
        <v>192</v>
      </c>
      <c r="G203" s="35" t="s">
        <v>193</v>
      </c>
      <c r="H203" s="35" t="s">
        <v>5</v>
      </c>
      <c r="I203" s="55"/>
      <c r="J203" s="15" t="s">
        <v>756</v>
      </c>
      <c r="K203" s="15" t="s">
        <v>755</v>
      </c>
      <c r="L203" s="15" t="s">
        <v>757</v>
      </c>
      <c r="M203" s="15" t="s">
        <v>758</v>
      </c>
      <c r="N203" s="10" t="s">
        <v>94</v>
      </c>
      <c r="O203" s="10" t="s">
        <v>194</v>
      </c>
      <c r="P203" s="10" t="s">
        <v>94</v>
      </c>
      <c r="Q203" s="10" t="s">
        <v>79</v>
      </c>
      <c r="R203" s="33" t="s">
        <v>79</v>
      </c>
      <c r="S203" s="33" t="s">
        <v>79</v>
      </c>
      <c r="T203" s="33"/>
      <c r="U203" s="85"/>
    </row>
    <row r="204" spans="1:30" ht="34.5" x14ac:dyDescent="0.35">
      <c r="B204" s="60"/>
      <c r="C204" s="63" t="s">
        <v>43</v>
      </c>
      <c r="D204" s="44" t="s">
        <v>2</v>
      </c>
      <c r="E204" s="24" t="s">
        <v>195</v>
      </c>
      <c r="F204" s="25" t="s">
        <v>196</v>
      </c>
      <c r="G204" s="26" t="s">
        <v>197</v>
      </c>
      <c r="H204" s="26" t="s">
        <v>5</v>
      </c>
      <c r="I204" s="53"/>
      <c r="J204" s="19"/>
      <c r="K204" s="19"/>
      <c r="L204" s="19"/>
      <c r="M204" s="19"/>
      <c r="N204" s="10" t="s">
        <v>94</v>
      </c>
      <c r="O204" s="10" t="s">
        <v>194</v>
      </c>
      <c r="P204" s="10" t="s">
        <v>94</v>
      </c>
      <c r="Q204" s="10" t="s">
        <v>79</v>
      </c>
      <c r="R204" s="33" t="s">
        <v>79</v>
      </c>
      <c r="S204" s="33" t="s">
        <v>79</v>
      </c>
      <c r="T204" s="33"/>
      <c r="U204" s="85"/>
    </row>
    <row r="205" spans="1:30" ht="46" x14ac:dyDescent="0.35">
      <c r="B205" s="60"/>
      <c r="C205" s="63" t="s">
        <v>43</v>
      </c>
      <c r="D205" s="20" t="s">
        <v>3</v>
      </c>
      <c r="E205" s="21" t="s">
        <v>1194</v>
      </c>
      <c r="F205" s="22" t="s">
        <v>1196</v>
      </c>
      <c r="G205" s="23" t="s">
        <v>1715</v>
      </c>
      <c r="H205" s="23" t="s">
        <v>5</v>
      </c>
      <c r="I205" s="52" t="s">
        <v>359</v>
      </c>
      <c r="J205" s="23" t="s">
        <v>1198</v>
      </c>
      <c r="K205" s="23" t="s">
        <v>1199</v>
      </c>
      <c r="L205" s="23" t="s">
        <v>1200</v>
      </c>
      <c r="M205" s="23" t="s">
        <v>1201</v>
      </c>
      <c r="N205" s="10" t="s">
        <v>94</v>
      </c>
      <c r="O205" s="10" t="s">
        <v>194</v>
      </c>
      <c r="P205" s="10" t="s">
        <v>94</v>
      </c>
      <c r="Q205" s="10" t="s">
        <v>79</v>
      </c>
      <c r="R205" s="11" t="s">
        <v>364</v>
      </c>
      <c r="S205" s="33" t="s">
        <v>79</v>
      </c>
      <c r="T205" s="11"/>
      <c r="U205" s="81"/>
      <c r="AD205" s="122" t="s">
        <v>1716</v>
      </c>
    </row>
    <row r="206" spans="1:30" ht="57.5" x14ac:dyDescent="0.35">
      <c r="B206" s="60"/>
      <c r="C206" s="63" t="s">
        <v>43</v>
      </c>
      <c r="D206" s="20" t="s">
        <v>3</v>
      </c>
      <c r="E206" s="21" t="s">
        <v>1195</v>
      </c>
      <c r="F206" s="22" t="s">
        <v>1265</v>
      </c>
      <c r="G206" s="23" t="s">
        <v>1890</v>
      </c>
      <c r="H206" s="23" t="s">
        <v>5</v>
      </c>
      <c r="I206" s="52" t="s">
        <v>359</v>
      </c>
      <c r="J206" s="23"/>
      <c r="K206" s="23"/>
      <c r="L206" s="23"/>
      <c r="M206" s="23"/>
      <c r="N206" s="10" t="s">
        <v>94</v>
      </c>
      <c r="O206" s="10" t="s">
        <v>194</v>
      </c>
      <c r="P206" s="10" t="s">
        <v>94</v>
      </c>
      <c r="Q206" s="10" t="s">
        <v>79</v>
      </c>
      <c r="R206" s="11" t="s">
        <v>364</v>
      </c>
      <c r="S206" s="33" t="s">
        <v>79</v>
      </c>
      <c r="T206" s="11"/>
      <c r="U206" s="81"/>
      <c r="X206" s="57" t="s">
        <v>1607</v>
      </c>
    </row>
    <row r="207" spans="1:30" ht="159.5" x14ac:dyDescent="0.35">
      <c r="A207" s="123" t="s">
        <v>1883</v>
      </c>
      <c r="B207" s="60"/>
      <c r="C207" s="63" t="s">
        <v>43</v>
      </c>
      <c r="D207" s="20" t="s">
        <v>3</v>
      </c>
      <c r="E207" s="21" t="s">
        <v>1259</v>
      </c>
      <c r="F207" s="22" t="s">
        <v>1197</v>
      </c>
      <c r="G207" s="23" t="s">
        <v>2023</v>
      </c>
      <c r="H207" s="23" t="s">
        <v>5</v>
      </c>
      <c r="I207" s="52" t="s">
        <v>359</v>
      </c>
      <c r="J207" s="23" t="s">
        <v>1262</v>
      </c>
      <c r="K207" s="23" t="s">
        <v>1202</v>
      </c>
      <c r="L207" s="23" t="s">
        <v>1203</v>
      </c>
      <c r="M207" s="23" t="s">
        <v>1204</v>
      </c>
      <c r="N207" s="10" t="s">
        <v>94</v>
      </c>
      <c r="O207" s="10" t="s">
        <v>194</v>
      </c>
      <c r="P207" s="10" t="s">
        <v>94</v>
      </c>
      <c r="Q207" s="10" t="s">
        <v>79</v>
      </c>
      <c r="R207" s="11" t="s">
        <v>364</v>
      </c>
      <c r="S207" s="33" t="s">
        <v>79</v>
      </c>
      <c r="T207" s="11"/>
      <c r="U207" s="81"/>
      <c r="X207" s="110" t="s">
        <v>1608</v>
      </c>
    </row>
    <row r="208" spans="1:30" ht="29" x14ac:dyDescent="0.35">
      <c r="B208" s="60"/>
      <c r="C208" s="63" t="s">
        <v>43</v>
      </c>
      <c r="D208" s="20" t="s">
        <v>3</v>
      </c>
      <c r="E208" s="21" t="s">
        <v>1264</v>
      </c>
      <c r="F208" s="22" t="s">
        <v>1260</v>
      </c>
      <c r="G208" s="23" t="s">
        <v>1261</v>
      </c>
      <c r="H208" s="23" t="s">
        <v>5</v>
      </c>
      <c r="I208" s="52" t="s">
        <v>359</v>
      </c>
      <c r="J208" s="23" t="s">
        <v>1263</v>
      </c>
      <c r="K208" s="23"/>
      <c r="L208" s="23"/>
      <c r="M208" s="23"/>
      <c r="N208" s="10" t="s">
        <v>94</v>
      </c>
      <c r="O208" s="10" t="s">
        <v>194</v>
      </c>
      <c r="P208" s="10" t="s">
        <v>94</v>
      </c>
      <c r="Q208" s="10" t="s">
        <v>79</v>
      </c>
      <c r="R208" s="11" t="s">
        <v>364</v>
      </c>
      <c r="S208" s="33" t="s">
        <v>79</v>
      </c>
      <c r="T208" s="11"/>
      <c r="U208" s="81"/>
      <c r="X208" s="57" t="s">
        <v>1609</v>
      </c>
    </row>
    <row r="209" spans="1:24" ht="217.5" x14ac:dyDescent="0.35">
      <c r="B209" s="60"/>
      <c r="C209" s="63" t="s">
        <v>164</v>
      </c>
      <c r="D209" s="44" t="s">
        <v>2</v>
      </c>
      <c r="E209" s="24" t="s">
        <v>198</v>
      </c>
      <c r="F209" s="18" t="s">
        <v>199</v>
      </c>
      <c r="G209" s="19" t="s">
        <v>200</v>
      </c>
      <c r="H209" s="26" t="s">
        <v>5</v>
      </c>
      <c r="I209" s="51" t="s">
        <v>359</v>
      </c>
      <c r="J209" s="19" t="s">
        <v>760</v>
      </c>
      <c r="K209" s="19" t="s">
        <v>759</v>
      </c>
      <c r="L209" s="19" t="s">
        <v>761</v>
      </c>
      <c r="M209" s="19" t="s">
        <v>762</v>
      </c>
      <c r="N209" s="10" t="s">
        <v>94</v>
      </c>
      <c r="O209" s="10" t="s">
        <v>194</v>
      </c>
      <c r="P209" s="10" t="s">
        <v>94</v>
      </c>
      <c r="Q209" s="10" t="s">
        <v>79</v>
      </c>
      <c r="R209" s="11" t="s">
        <v>364</v>
      </c>
      <c r="S209" s="33" t="s">
        <v>79</v>
      </c>
      <c r="T209" s="33"/>
      <c r="U209" s="85"/>
      <c r="X209" s="111" t="s">
        <v>1610</v>
      </c>
    </row>
    <row r="210" spans="1:24" ht="29" x14ac:dyDescent="0.35">
      <c r="B210" s="60"/>
      <c r="C210" s="63" t="s">
        <v>164</v>
      </c>
      <c r="D210" s="20" t="s">
        <v>3</v>
      </c>
      <c r="E210" s="21" t="s">
        <v>1238</v>
      </c>
      <c r="F210" s="22" t="s">
        <v>1260</v>
      </c>
      <c r="G210" s="23" t="s">
        <v>1898</v>
      </c>
      <c r="H210" s="23" t="s">
        <v>5</v>
      </c>
      <c r="I210" s="52" t="s">
        <v>363</v>
      </c>
      <c r="J210" s="23" t="s">
        <v>1263</v>
      </c>
      <c r="K210" s="23"/>
      <c r="L210" s="23"/>
      <c r="M210" s="23"/>
      <c r="N210" s="10" t="s">
        <v>94</v>
      </c>
      <c r="O210" s="10" t="s">
        <v>194</v>
      </c>
      <c r="P210" s="10" t="s">
        <v>94</v>
      </c>
      <c r="Q210" s="10" t="s">
        <v>79</v>
      </c>
      <c r="R210" s="11" t="s">
        <v>364</v>
      </c>
      <c r="S210" s="33" t="s">
        <v>79</v>
      </c>
      <c r="T210" s="11"/>
      <c r="U210" s="81"/>
      <c r="X210" s="57" t="s">
        <v>1609</v>
      </c>
    </row>
    <row r="211" spans="1:24" ht="46" x14ac:dyDescent="0.35">
      <c r="A211" s="123" t="s">
        <v>1755</v>
      </c>
      <c r="B211" s="60"/>
      <c r="C211" s="63" t="s">
        <v>164</v>
      </c>
      <c r="D211" s="20" t="s">
        <v>3</v>
      </c>
      <c r="E211" s="21" t="s">
        <v>1239</v>
      </c>
      <c r="F211" s="22" t="s">
        <v>1241</v>
      </c>
      <c r="G211" s="23" t="s">
        <v>1882</v>
      </c>
      <c r="H211" s="23" t="s">
        <v>5</v>
      </c>
      <c r="I211" s="52" t="s">
        <v>359</v>
      </c>
      <c r="J211" s="23" t="s">
        <v>1242</v>
      </c>
      <c r="K211" s="23" t="s">
        <v>1243</v>
      </c>
      <c r="L211" s="23" t="s">
        <v>1244</v>
      </c>
      <c r="M211" s="23" t="s">
        <v>1245</v>
      </c>
      <c r="N211" s="10" t="s">
        <v>94</v>
      </c>
      <c r="O211" s="10" t="s">
        <v>194</v>
      </c>
      <c r="P211" s="10" t="s">
        <v>94</v>
      </c>
      <c r="Q211" s="10" t="s">
        <v>79</v>
      </c>
      <c r="R211" s="11" t="s">
        <v>364</v>
      </c>
      <c r="S211" s="11" t="s">
        <v>79</v>
      </c>
      <c r="T211" s="11" t="s">
        <v>326</v>
      </c>
      <c r="U211" s="81"/>
      <c r="X211" s="125" t="s">
        <v>1611</v>
      </c>
    </row>
    <row r="212" spans="1:24" ht="149.5" x14ac:dyDescent="0.35">
      <c r="B212" s="60"/>
      <c r="C212" s="63" t="s">
        <v>164</v>
      </c>
      <c r="D212" s="20" t="s">
        <v>3</v>
      </c>
      <c r="E212" s="21" t="s">
        <v>1240</v>
      </c>
      <c r="F212" s="22" t="s">
        <v>2024</v>
      </c>
      <c r="G212" s="126" t="str">
        <f>_xlfn._LONGTEXT("For Fixed Fee / Milestone projects, confirm all timecards for the period are submitted. Automatically reconcile billable hours (timecard-driven) against working budget (at project setup) to derive percentage of completion (PoC). Calculate PoC at the paren","t project level wherever operationally feasible rather than at sub-project level. GFS to share PoCs with PMs for review.
Milestone - by exception only: Where PoC is not applicable, validate milestone completion and client acceptance status for revenue re","cognition processing. Proceed to to ")&amp;E214&amp;""</f>
        <v>For Fixed Fee / Milestone projects, confirm all timecards for the period are submitted. Automatically reconcile billable hours (timecard-driven) against working budget (at project setup) to derive percentage of completion (PoC). Calculate PoC at the parent project level wherever operationally feasible rather than at sub-project level. GFS to share PoCs with PMs for review.
Milestone - by exception only: Where PoC is not applicable, validate milestone completion and client acceptance status for revenue recognition processing. Proceed to to 4.1.2.5</v>
      </c>
      <c r="H212" s="23" t="s">
        <v>5</v>
      </c>
      <c r="I212" s="52" t="s">
        <v>361</v>
      </c>
      <c r="J212" s="23" t="s">
        <v>1246</v>
      </c>
      <c r="K212" s="23" t="s">
        <v>1892</v>
      </c>
      <c r="L212" s="23" t="s">
        <v>1247</v>
      </c>
      <c r="M212" s="23" t="s">
        <v>1248</v>
      </c>
      <c r="N212" s="10" t="s">
        <v>94</v>
      </c>
      <c r="O212" s="10" t="s">
        <v>194</v>
      </c>
      <c r="P212" s="10" t="s">
        <v>94</v>
      </c>
      <c r="Q212" s="10" t="s">
        <v>79</v>
      </c>
      <c r="R212" s="11" t="s">
        <v>79</v>
      </c>
      <c r="S212" s="11" t="s">
        <v>79</v>
      </c>
      <c r="T212" s="11" t="s">
        <v>326</v>
      </c>
      <c r="U212" s="81"/>
    </row>
    <row r="213" spans="1:24" ht="80.5" x14ac:dyDescent="0.35">
      <c r="B213" s="60"/>
      <c r="C213" s="63" t="s">
        <v>164</v>
      </c>
      <c r="D213" s="20" t="s">
        <v>3</v>
      </c>
      <c r="E213" s="21" t="s">
        <v>1718</v>
      </c>
      <c r="F213" s="22" t="s">
        <v>1717</v>
      </c>
      <c r="G213" s="23" t="str">
        <f>"Review system-generated PoC. If current understanding of PoC does not agree with calculation, update working budget within PSA to inform revised PoC calculation
Milestone - by exception only: Where PoC is not applicable, skip this step and proceed to "&amp;E214&amp;""</f>
        <v>Review system-generated PoC. If current understanding of PoC does not agree with calculation, update working budget within PSA to inform revised PoC calculation
Milestone - by exception only: Where PoC is not applicable, skip this step and proceed to 4.1.2.5</v>
      </c>
      <c r="H213" s="23" t="s">
        <v>5</v>
      </c>
      <c r="I213" s="52" t="s">
        <v>363</v>
      </c>
      <c r="J213" s="23"/>
      <c r="K213" s="23"/>
      <c r="L213" s="23"/>
      <c r="M213" s="23"/>
      <c r="N213" s="10"/>
      <c r="O213" s="10"/>
      <c r="P213" s="10"/>
      <c r="Q213" s="10"/>
      <c r="R213" s="11" t="s">
        <v>326</v>
      </c>
      <c r="S213" s="11" t="s">
        <v>326</v>
      </c>
      <c r="T213" s="11"/>
      <c r="U213" s="81"/>
    </row>
    <row r="214" spans="1:24" ht="46" x14ac:dyDescent="0.35">
      <c r="A214" s="123" t="s">
        <v>1720</v>
      </c>
      <c r="B214" s="60"/>
      <c r="C214" s="63" t="s">
        <v>164</v>
      </c>
      <c r="D214" s="20" t="s">
        <v>3</v>
      </c>
      <c r="E214" s="21" t="s">
        <v>1884</v>
      </c>
      <c r="F214" s="22" t="s">
        <v>1885</v>
      </c>
      <c r="G214" s="23" t="s">
        <v>2017</v>
      </c>
      <c r="H214" s="23" t="s">
        <v>5</v>
      </c>
      <c r="I214" s="52" t="s">
        <v>363</v>
      </c>
      <c r="J214" s="23"/>
      <c r="K214" s="23"/>
      <c r="L214" s="23"/>
      <c r="M214" s="23"/>
      <c r="N214" s="10"/>
      <c r="O214" s="10"/>
      <c r="P214" s="10"/>
      <c r="Q214" s="10"/>
      <c r="R214" s="11" t="s">
        <v>79</v>
      </c>
      <c r="S214" s="11" t="s">
        <v>79</v>
      </c>
      <c r="T214" s="11" t="s">
        <v>1651</v>
      </c>
      <c r="U214" s="81"/>
    </row>
    <row r="215" spans="1:24" ht="57.5" x14ac:dyDescent="0.35">
      <c r="B215" s="60"/>
      <c r="C215" s="63" t="s">
        <v>164</v>
      </c>
      <c r="D215" s="20" t="s">
        <v>3</v>
      </c>
      <c r="E215" s="21" t="s">
        <v>1887</v>
      </c>
      <c r="F215" s="22" t="s">
        <v>2020</v>
      </c>
      <c r="G215" s="58" t="s">
        <v>2019</v>
      </c>
      <c r="H215" s="23" t="s">
        <v>5</v>
      </c>
      <c r="I215" s="52" t="s">
        <v>359</v>
      </c>
      <c r="J215" s="23" t="s">
        <v>1249</v>
      </c>
      <c r="K215" s="23" t="s">
        <v>1250</v>
      </c>
      <c r="L215" s="23" t="s">
        <v>1251</v>
      </c>
      <c r="M215" s="23" t="s">
        <v>1252</v>
      </c>
      <c r="N215" s="10" t="s">
        <v>94</v>
      </c>
      <c r="O215" s="10" t="s">
        <v>194</v>
      </c>
      <c r="P215" s="10" t="s">
        <v>94</v>
      </c>
      <c r="Q215" s="10" t="s">
        <v>79</v>
      </c>
      <c r="R215" s="11" t="s">
        <v>364</v>
      </c>
      <c r="S215" s="11" t="s">
        <v>79</v>
      </c>
      <c r="T215" s="11" t="s">
        <v>326</v>
      </c>
      <c r="U215" s="81"/>
    </row>
    <row r="216" spans="1:24" ht="46" x14ac:dyDescent="0.35">
      <c r="B216" s="60"/>
      <c r="C216" s="63" t="s">
        <v>43</v>
      </c>
      <c r="D216" s="44" t="s">
        <v>2</v>
      </c>
      <c r="E216" s="24" t="s">
        <v>201</v>
      </c>
      <c r="F216" s="25" t="s">
        <v>202</v>
      </c>
      <c r="G216" s="19" t="s">
        <v>1266</v>
      </c>
      <c r="H216" s="116" t="str">
        <f>"Decision 
If yes, proceed to step "&amp;E217&amp;" 
If no, proceed to "&amp;E221&amp;""</f>
        <v>Decision 
If yes, proceed to step 4.1.4 
If no, proceed to 4.1.5</v>
      </c>
      <c r="I216" s="51" t="s">
        <v>359</v>
      </c>
      <c r="J216" s="26"/>
      <c r="K216" s="26"/>
      <c r="L216" s="26"/>
      <c r="M216" s="26"/>
      <c r="N216" s="10" t="s">
        <v>94</v>
      </c>
      <c r="O216" s="10" t="s">
        <v>194</v>
      </c>
      <c r="P216" s="10" t="s">
        <v>94</v>
      </c>
      <c r="Q216" s="10" t="s">
        <v>79</v>
      </c>
      <c r="R216" s="11" t="s">
        <v>364</v>
      </c>
      <c r="S216" s="33" t="s">
        <v>79</v>
      </c>
      <c r="T216" s="33"/>
      <c r="U216" s="85"/>
      <c r="X216" s="57" t="s">
        <v>1612</v>
      </c>
    </row>
    <row r="217" spans="1:24" x14ac:dyDescent="0.35">
      <c r="B217" s="60"/>
      <c r="C217" s="63" t="s">
        <v>43</v>
      </c>
      <c r="D217" s="44" t="s">
        <v>2</v>
      </c>
      <c r="E217" s="24" t="s">
        <v>203</v>
      </c>
      <c r="F217" s="25" t="s">
        <v>204</v>
      </c>
      <c r="G217" s="26" t="s">
        <v>205</v>
      </c>
      <c r="H217" s="26" t="s">
        <v>5</v>
      </c>
      <c r="I217" s="51" t="s">
        <v>363</v>
      </c>
      <c r="J217" s="26"/>
      <c r="K217" s="26"/>
      <c r="L217" s="26"/>
      <c r="M217" s="26"/>
      <c r="N217" s="10" t="s">
        <v>94</v>
      </c>
      <c r="O217" s="10" t="s">
        <v>194</v>
      </c>
      <c r="P217" s="10" t="s">
        <v>94</v>
      </c>
      <c r="Q217" s="10" t="s">
        <v>79</v>
      </c>
      <c r="R217" s="33" t="s">
        <v>79</v>
      </c>
      <c r="S217" s="33" t="s">
        <v>79</v>
      </c>
      <c r="T217" s="11" t="s">
        <v>326</v>
      </c>
      <c r="U217" s="85"/>
    </row>
    <row r="218" spans="1:24" ht="34.5" x14ac:dyDescent="0.35">
      <c r="B218" s="60"/>
      <c r="C218" s="63" t="s">
        <v>43</v>
      </c>
      <c r="D218" s="20" t="s">
        <v>3</v>
      </c>
      <c r="E218" s="21" t="s">
        <v>1253</v>
      </c>
      <c r="F218" s="22" t="s">
        <v>1254</v>
      </c>
      <c r="G218" s="23" t="s">
        <v>1888</v>
      </c>
      <c r="H218" s="23" t="s">
        <v>5</v>
      </c>
      <c r="I218" s="52" t="s">
        <v>363</v>
      </c>
      <c r="J218" s="23"/>
      <c r="K218" s="23"/>
      <c r="L218" s="23"/>
      <c r="M218" s="23"/>
      <c r="N218" s="10" t="s">
        <v>94</v>
      </c>
      <c r="O218" s="10" t="s">
        <v>194</v>
      </c>
      <c r="P218" s="10" t="s">
        <v>94</v>
      </c>
      <c r="Q218" s="10" t="s">
        <v>79</v>
      </c>
      <c r="R218" s="11" t="s">
        <v>79</v>
      </c>
      <c r="S218" s="11" t="s">
        <v>79</v>
      </c>
      <c r="T218" s="11" t="s">
        <v>326</v>
      </c>
      <c r="U218" s="81"/>
    </row>
    <row r="219" spans="1:24" ht="34.5" x14ac:dyDescent="0.35">
      <c r="B219" s="60"/>
      <c r="C219" s="63" t="s">
        <v>43</v>
      </c>
      <c r="D219" s="20" t="s">
        <v>3</v>
      </c>
      <c r="E219" s="21" t="s">
        <v>1255</v>
      </c>
      <c r="F219" s="22" t="s">
        <v>1256</v>
      </c>
      <c r="G219" s="23" t="s">
        <v>1889</v>
      </c>
      <c r="H219" s="23" t="s">
        <v>5</v>
      </c>
      <c r="I219" s="52" t="s">
        <v>363</v>
      </c>
      <c r="J219" s="23"/>
      <c r="K219" s="23"/>
      <c r="L219" s="23"/>
      <c r="M219" s="23"/>
      <c r="N219" s="10" t="s">
        <v>1001</v>
      </c>
      <c r="O219" s="10" t="s">
        <v>1001</v>
      </c>
      <c r="P219" s="10" t="s">
        <v>1001</v>
      </c>
      <c r="Q219" s="10" t="s">
        <v>243</v>
      </c>
      <c r="R219" s="11" t="s">
        <v>1651</v>
      </c>
      <c r="S219" s="11" t="s">
        <v>79</v>
      </c>
      <c r="T219" s="11" t="s">
        <v>326</v>
      </c>
      <c r="U219" s="81"/>
    </row>
    <row r="220" spans="1:24" ht="34.5" x14ac:dyDescent="0.35">
      <c r="B220" s="60"/>
      <c r="C220" s="63" t="s">
        <v>43</v>
      </c>
      <c r="D220" s="20" t="s">
        <v>3</v>
      </c>
      <c r="E220" s="21" t="s">
        <v>1257</v>
      </c>
      <c r="F220" s="22" t="s">
        <v>1258</v>
      </c>
      <c r="G220" s="23" t="s">
        <v>1267</v>
      </c>
      <c r="H220" s="23" t="s">
        <v>5</v>
      </c>
      <c r="I220" s="52" t="s">
        <v>363</v>
      </c>
      <c r="J220" s="23"/>
      <c r="K220" s="23"/>
      <c r="L220" s="23"/>
      <c r="M220" s="23"/>
      <c r="N220" s="10" t="s">
        <v>94</v>
      </c>
      <c r="O220" s="10" t="s">
        <v>94</v>
      </c>
      <c r="P220" s="10" t="s">
        <v>94</v>
      </c>
      <c r="Q220" s="10" t="s">
        <v>79</v>
      </c>
      <c r="R220" s="11" t="s">
        <v>79</v>
      </c>
      <c r="S220" s="11" t="s">
        <v>79</v>
      </c>
      <c r="T220" s="11" t="s">
        <v>326</v>
      </c>
      <c r="U220" s="81"/>
      <c r="X220" s="57" t="s">
        <v>1613</v>
      </c>
    </row>
    <row r="221" spans="1:24" ht="80.5" x14ac:dyDescent="0.35">
      <c r="B221" s="60"/>
      <c r="C221" s="63" t="s">
        <v>1897</v>
      </c>
      <c r="D221" s="44" t="s">
        <v>2</v>
      </c>
      <c r="E221" s="24" t="s">
        <v>206</v>
      </c>
      <c r="F221" s="25" t="s">
        <v>207</v>
      </c>
      <c r="G221" s="19" t="s">
        <v>1894</v>
      </c>
      <c r="H221" s="26" t="s">
        <v>5</v>
      </c>
      <c r="I221" s="53"/>
      <c r="J221" s="19" t="s">
        <v>764</v>
      </c>
      <c r="K221" s="19" t="s">
        <v>763</v>
      </c>
      <c r="L221" s="19" t="s">
        <v>765</v>
      </c>
      <c r="M221" s="19" t="s">
        <v>766</v>
      </c>
      <c r="N221" s="10" t="s">
        <v>94</v>
      </c>
      <c r="O221" s="10" t="s">
        <v>194</v>
      </c>
      <c r="P221" s="10" t="s">
        <v>94</v>
      </c>
      <c r="Q221" s="10" t="s">
        <v>79</v>
      </c>
      <c r="R221" s="33" t="s">
        <v>79</v>
      </c>
      <c r="S221" s="33" t="s">
        <v>79</v>
      </c>
      <c r="T221" s="33"/>
      <c r="U221" s="85"/>
    </row>
    <row r="222" spans="1:24" ht="29" x14ac:dyDescent="0.35">
      <c r="B222" s="60"/>
      <c r="C222" s="63" t="s">
        <v>164</v>
      </c>
      <c r="D222" s="20" t="s">
        <v>3</v>
      </c>
      <c r="E222" s="21" t="s">
        <v>1268</v>
      </c>
      <c r="F222" s="22" t="s">
        <v>1260</v>
      </c>
      <c r="G222" s="23" t="s">
        <v>1899</v>
      </c>
      <c r="H222" s="23" t="s">
        <v>5</v>
      </c>
      <c r="I222" s="52" t="s">
        <v>363</v>
      </c>
      <c r="J222" s="23" t="s">
        <v>1263</v>
      </c>
      <c r="K222" s="23"/>
      <c r="L222" s="23"/>
      <c r="M222" s="23"/>
      <c r="N222" s="10" t="s">
        <v>94</v>
      </c>
      <c r="O222" s="10" t="s">
        <v>194</v>
      </c>
      <c r="P222" s="10" t="s">
        <v>94</v>
      </c>
      <c r="Q222" s="10" t="s">
        <v>79</v>
      </c>
      <c r="R222" s="11" t="s">
        <v>364</v>
      </c>
      <c r="S222" s="33" t="s">
        <v>79</v>
      </c>
      <c r="T222" s="11"/>
      <c r="U222" s="81"/>
      <c r="X222" s="57" t="s">
        <v>1609</v>
      </c>
    </row>
    <row r="223" spans="1:24" ht="46" x14ac:dyDescent="0.35">
      <c r="B223" s="60"/>
      <c r="C223" s="63" t="s">
        <v>164</v>
      </c>
      <c r="D223" s="20" t="s">
        <v>3</v>
      </c>
      <c r="E223" s="21" t="s">
        <v>1269</v>
      </c>
      <c r="F223" s="22" t="s">
        <v>1895</v>
      </c>
      <c r="G223" s="23" t="s">
        <v>1902</v>
      </c>
      <c r="H223" s="23" t="s">
        <v>5</v>
      </c>
      <c r="I223" s="52" t="s">
        <v>361</v>
      </c>
      <c r="J223" s="23" t="s">
        <v>1274</v>
      </c>
      <c r="K223" s="23" t="s">
        <v>1275</v>
      </c>
      <c r="L223" s="23" t="s">
        <v>1276</v>
      </c>
      <c r="M223" s="23" t="s">
        <v>1277</v>
      </c>
      <c r="N223" s="10" t="s">
        <v>94</v>
      </c>
      <c r="O223" s="10" t="s">
        <v>194</v>
      </c>
      <c r="P223" s="10" t="s">
        <v>94</v>
      </c>
      <c r="Q223" s="10" t="s">
        <v>79</v>
      </c>
      <c r="R223" s="11" t="s">
        <v>79</v>
      </c>
      <c r="S223" s="11" t="s">
        <v>79</v>
      </c>
      <c r="T223" s="11"/>
      <c r="U223" s="81"/>
    </row>
    <row r="224" spans="1:24" ht="126.5" x14ac:dyDescent="0.35">
      <c r="B224" s="60"/>
      <c r="C224" s="63" t="s">
        <v>164</v>
      </c>
      <c r="D224" s="20" t="s">
        <v>3</v>
      </c>
      <c r="E224" s="21" t="s">
        <v>1270</v>
      </c>
      <c r="F224" s="22" t="s">
        <v>2025</v>
      </c>
      <c r="G224" s="23" t="s">
        <v>2026</v>
      </c>
      <c r="H224" s="23" t="s">
        <v>5</v>
      </c>
      <c r="I224" s="52" t="s">
        <v>361</v>
      </c>
      <c r="J224" s="23" t="s">
        <v>1278</v>
      </c>
      <c r="K224" s="23" t="s">
        <v>1279</v>
      </c>
      <c r="L224" s="23" t="s">
        <v>1280</v>
      </c>
      <c r="M224" s="23" t="s">
        <v>1281</v>
      </c>
      <c r="N224" s="10" t="s">
        <v>94</v>
      </c>
      <c r="O224" s="10" t="s">
        <v>194</v>
      </c>
      <c r="P224" s="10" t="s">
        <v>94</v>
      </c>
      <c r="Q224" s="10" t="s">
        <v>79</v>
      </c>
      <c r="R224" s="11" t="s">
        <v>79</v>
      </c>
      <c r="S224" s="11" t="s">
        <v>79</v>
      </c>
      <c r="T224" s="11" t="s">
        <v>326</v>
      </c>
      <c r="U224" s="81"/>
    </row>
    <row r="225" spans="1:24" ht="69" x14ac:dyDescent="0.35">
      <c r="A225" s="123" t="s">
        <v>1720</v>
      </c>
      <c r="B225" s="60"/>
      <c r="C225" s="63" t="s">
        <v>164</v>
      </c>
      <c r="D225" s="20" t="s">
        <v>3</v>
      </c>
      <c r="E225" s="21" t="s">
        <v>1271</v>
      </c>
      <c r="F225" s="22" t="s">
        <v>1896</v>
      </c>
      <c r="G225" s="23" t="s">
        <v>2018</v>
      </c>
      <c r="H225" s="23" t="s">
        <v>5</v>
      </c>
      <c r="I225" s="52" t="s">
        <v>361</v>
      </c>
      <c r="J225" s="23"/>
      <c r="K225" s="23"/>
      <c r="L225" s="23"/>
      <c r="M225" s="23"/>
      <c r="N225" s="10"/>
      <c r="O225" s="10"/>
      <c r="P225" s="10"/>
      <c r="Q225" s="10"/>
      <c r="R225" s="11" t="s">
        <v>79</v>
      </c>
      <c r="S225" s="11" t="s">
        <v>79</v>
      </c>
      <c r="T225" s="11"/>
      <c r="U225" s="81"/>
    </row>
    <row r="226" spans="1:24" ht="46" x14ac:dyDescent="0.35">
      <c r="A226" s="124" t="s">
        <v>1900</v>
      </c>
      <c r="B226" s="60"/>
      <c r="C226" s="63" t="s">
        <v>164</v>
      </c>
      <c r="D226" s="20" t="s">
        <v>3</v>
      </c>
      <c r="E226" s="21" t="s">
        <v>1272</v>
      </c>
      <c r="F226" s="22" t="s">
        <v>2021</v>
      </c>
      <c r="G226" s="23" t="s">
        <v>2022</v>
      </c>
      <c r="H226" s="23" t="s">
        <v>5</v>
      </c>
      <c r="I226" s="52" t="s">
        <v>361</v>
      </c>
      <c r="J226" s="23"/>
      <c r="K226" s="23" t="s">
        <v>1616</v>
      </c>
      <c r="L226" s="23"/>
      <c r="M226" s="23"/>
      <c r="N226" s="10" t="s">
        <v>94</v>
      </c>
      <c r="O226" s="10" t="s">
        <v>194</v>
      </c>
      <c r="P226" s="10" t="s">
        <v>94</v>
      </c>
      <c r="Q226" s="10" t="s">
        <v>79</v>
      </c>
      <c r="R226" s="11" t="s">
        <v>364</v>
      </c>
      <c r="S226" s="11" t="s">
        <v>79</v>
      </c>
      <c r="T226" s="11"/>
      <c r="U226" s="81"/>
    </row>
    <row r="227" spans="1:24" ht="46" x14ac:dyDescent="0.35">
      <c r="B227" s="60"/>
      <c r="C227" s="63" t="s">
        <v>43</v>
      </c>
      <c r="D227" s="20" t="s">
        <v>3</v>
      </c>
      <c r="E227" s="21" t="s">
        <v>1617</v>
      </c>
      <c r="F227" s="22" t="s">
        <v>1273</v>
      </c>
      <c r="G227" s="23" t="s">
        <v>1901</v>
      </c>
      <c r="H227" s="23" t="s">
        <v>5</v>
      </c>
      <c r="I227" s="52" t="s">
        <v>361</v>
      </c>
      <c r="J227" s="23" t="s">
        <v>1282</v>
      </c>
      <c r="K227" s="23" t="s">
        <v>1283</v>
      </c>
      <c r="L227" s="23" t="s">
        <v>1284</v>
      </c>
      <c r="M227" s="23" t="s">
        <v>1285</v>
      </c>
      <c r="N227" s="10" t="s">
        <v>94</v>
      </c>
      <c r="O227" s="10" t="s">
        <v>194</v>
      </c>
      <c r="P227" s="10" t="s">
        <v>94</v>
      </c>
      <c r="Q227" s="10" t="s">
        <v>79</v>
      </c>
      <c r="R227" s="11" t="s">
        <v>79</v>
      </c>
      <c r="S227" s="11" t="s">
        <v>79</v>
      </c>
      <c r="T227" s="11" t="s">
        <v>326</v>
      </c>
      <c r="U227" s="81"/>
      <c r="X227" s="57" t="s">
        <v>1614</v>
      </c>
    </row>
    <row r="228" spans="1:24" ht="34.5" x14ac:dyDescent="0.35">
      <c r="B228" s="60"/>
      <c r="C228" s="63" t="s">
        <v>43</v>
      </c>
      <c r="D228" s="44" t="s">
        <v>2</v>
      </c>
      <c r="E228" s="24" t="s">
        <v>208</v>
      </c>
      <c r="F228" s="25" t="s">
        <v>209</v>
      </c>
      <c r="G228" s="19" t="s">
        <v>1903</v>
      </c>
      <c r="H228" s="26" t="s">
        <v>5</v>
      </c>
      <c r="I228" s="51" t="s">
        <v>359</v>
      </c>
      <c r="J228" s="19"/>
      <c r="K228" s="19"/>
      <c r="L228" s="19"/>
      <c r="M228" s="19"/>
      <c r="N228" s="10" t="s">
        <v>94</v>
      </c>
      <c r="O228" s="10" t="s">
        <v>194</v>
      </c>
      <c r="P228" s="10" t="s">
        <v>94</v>
      </c>
      <c r="Q228" s="10" t="s">
        <v>79</v>
      </c>
      <c r="R228" s="11" t="s">
        <v>364</v>
      </c>
      <c r="S228" s="33" t="s">
        <v>79</v>
      </c>
      <c r="T228" s="33"/>
      <c r="U228" s="85"/>
    </row>
    <row r="229" spans="1:24" ht="34.5" x14ac:dyDescent="0.35">
      <c r="B229" s="60"/>
      <c r="C229" s="63" t="s">
        <v>43</v>
      </c>
      <c r="D229" s="20" t="s">
        <v>3</v>
      </c>
      <c r="E229" s="21" t="s">
        <v>1286</v>
      </c>
      <c r="F229" s="22" t="s">
        <v>1287</v>
      </c>
      <c r="G229" s="23" t="s">
        <v>1904</v>
      </c>
      <c r="H229" s="23" t="s">
        <v>5</v>
      </c>
      <c r="I229" s="52" t="s">
        <v>359</v>
      </c>
      <c r="J229" s="23"/>
      <c r="K229" s="23"/>
      <c r="L229" s="23"/>
      <c r="M229" s="23"/>
      <c r="N229" s="10" t="s">
        <v>94</v>
      </c>
      <c r="O229" s="10" t="s">
        <v>194</v>
      </c>
      <c r="P229" s="10" t="s">
        <v>94</v>
      </c>
      <c r="Q229" s="10" t="s">
        <v>79</v>
      </c>
      <c r="R229" s="11" t="s">
        <v>364</v>
      </c>
      <c r="S229" s="33" t="s">
        <v>79</v>
      </c>
      <c r="T229" s="11"/>
      <c r="U229" s="81"/>
    </row>
    <row r="230" spans="1:24" ht="34.5" x14ac:dyDescent="0.35">
      <c r="B230" s="60"/>
      <c r="C230" s="63" t="s">
        <v>43</v>
      </c>
      <c r="D230" s="20" t="s">
        <v>3</v>
      </c>
      <c r="E230" s="21" t="s">
        <v>1288</v>
      </c>
      <c r="F230" s="22" t="s">
        <v>1289</v>
      </c>
      <c r="G230" s="23" t="s">
        <v>1905</v>
      </c>
      <c r="H230" s="23" t="s">
        <v>5</v>
      </c>
      <c r="I230" s="52" t="s">
        <v>359</v>
      </c>
      <c r="J230" s="23"/>
      <c r="K230" s="23"/>
      <c r="L230" s="23"/>
      <c r="M230" s="23"/>
      <c r="N230" s="10" t="s">
        <v>94</v>
      </c>
      <c r="O230" s="10" t="s">
        <v>194</v>
      </c>
      <c r="P230" s="10" t="s">
        <v>94</v>
      </c>
      <c r="Q230" s="10" t="s">
        <v>79</v>
      </c>
      <c r="R230" s="11" t="s">
        <v>364</v>
      </c>
      <c r="S230" s="33" t="s">
        <v>79</v>
      </c>
      <c r="T230" s="11"/>
      <c r="U230" s="81"/>
    </row>
    <row r="231" spans="1:24" ht="34.5" x14ac:dyDescent="0.35">
      <c r="B231" s="60"/>
      <c r="C231" s="63" t="s">
        <v>43</v>
      </c>
      <c r="D231" s="44" t="s">
        <v>2</v>
      </c>
      <c r="E231" s="24" t="s">
        <v>210</v>
      </c>
      <c r="F231" s="18" t="s">
        <v>1298</v>
      </c>
      <c r="G231" s="19" t="s">
        <v>1906</v>
      </c>
      <c r="H231" s="26" t="s">
        <v>5</v>
      </c>
      <c r="I231" s="51" t="s">
        <v>363</v>
      </c>
      <c r="J231" s="19"/>
      <c r="K231" s="19"/>
      <c r="L231" s="19"/>
      <c r="M231" s="19"/>
      <c r="N231" s="10" t="s">
        <v>94</v>
      </c>
      <c r="O231" s="10" t="s">
        <v>194</v>
      </c>
      <c r="P231" s="10" t="s">
        <v>94</v>
      </c>
      <c r="Q231" s="10" t="s">
        <v>79</v>
      </c>
      <c r="R231" s="33" t="s">
        <v>79</v>
      </c>
      <c r="S231" s="33" t="s">
        <v>79</v>
      </c>
      <c r="T231" s="33"/>
      <c r="U231" s="85"/>
    </row>
    <row r="232" spans="1:24" ht="34.5" x14ac:dyDescent="0.35">
      <c r="B232" s="60"/>
      <c r="C232" s="63" t="s">
        <v>43</v>
      </c>
      <c r="D232" s="20" t="s">
        <v>3</v>
      </c>
      <c r="E232" s="21" t="s">
        <v>1290</v>
      </c>
      <c r="F232" s="22" t="s">
        <v>1311</v>
      </c>
      <c r="G232" s="23" t="s">
        <v>1907</v>
      </c>
      <c r="H232" s="23" t="s">
        <v>5</v>
      </c>
      <c r="I232" s="52" t="s">
        <v>363</v>
      </c>
      <c r="J232" s="23"/>
      <c r="K232" s="23"/>
      <c r="L232" s="23"/>
      <c r="M232" s="23"/>
      <c r="N232" s="10" t="s">
        <v>94</v>
      </c>
      <c r="O232" s="10" t="s">
        <v>194</v>
      </c>
      <c r="P232" s="10" t="s">
        <v>94</v>
      </c>
      <c r="Q232" s="10" t="s">
        <v>79</v>
      </c>
      <c r="R232" s="33" t="s">
        <v>79</v>
      </c>
      <c r="S232" s="33" t="s">
        <v>79</v>
      </c>
      <c r="T232" s="11"/>
      <c r="U232" s="81"/>
    </row>
    <row r="233" spans="1:24" ht="57.5" x14ac:dyDescent="0.35">
      <c r="B233" s="60"/>
      <c r="C233" s="63" t="s">
        <v>43</v>
      </c>
      <c r="D233" s="20" t="s">
        <v>3</v>
      </c>
      <c r="E233" s="21" t="s">
        <v>1291</v>
      </c>
      <c r="F233" s="22" t="s">
        <v>1293</v>
      </c>
      <c r="G233" s="23" t="s">
        <v>1292</v>
      </c>
      <c r="H233" s="109" t="str">
        <f>"Decision 
If yes, proceed to step "&amp;E234&amp;" 
If no, proceed to "&amp;E229&amp;""</f>
        <v>Decision 
If yes, proceed to step 4.1.8 
If no, proceed to 4.1.6.1</v>
      </c>
      <c r="I233" s="52" t="s">
        <v>363</v>
      </c>
      <c r="J233" s="23"/>
      <c r="K233" s="23"/>
      <c r="L233" s="23"/>
      <c r="M233" s="23"/>
      <c r="N233" s="10" t="s">
        <v>94</v>
      </c>
      <c r="O233" s="10" t="s">
        <v>194</v>
      </c>
      <c r="P233" s="10" t="s">
        <v>94</v>
      </c>
      <c r="Q233" s="10" t="s">
        <v>79</v>
      </c>
      <c r="R233" s="33" t="s">
        <v>79</v>
      </c>
      <c r="S233" s="33" t="s">
        <v>79</v>
      </c>
      <c r="T233" s="11"/>
      <c r="U233" s="81"/>
    </row>
    <row r="234" spans="1:24" ht="34.5" x14ac:dyDescent="0.35">
      <c r="B234" s="60"/>
      <c r="C234" s="63" t="s">
        <v>43</v>
      </c>
      <c r="D234" s="44" t="s">
        <v>2</v>
      </c>
      <c r="E234" s="24" t="s">
        <v>212</v>
      </c>
      <c r="F234" s="18" t="s">
        <v>1908</v>
      </c>
      <c r="G234" s="19" t="s">
        <v>213</v>
      </c>
      <c r="H234" s="26" t="s">
        <v>5</v>
      </c>
      <c r="I234" s="51" t="s">
        <v>361</v>
      </c>
      <c r="J234" s="19"/>
      <c r="K234" s="19"/>
      <c r="L234" s="19"/>
      <c r="M234" s="19"/>
      <c r="N234" s="10" t="s">
        <v>94</v>
      </c>
      <c r="O234" s="10" t="s">
        <v>194</v>
      </c>
      <c r="P234" s="10" t="s">
        <v>94</v>
      </c>
      <c r="Q234" s="10" t="s">
        <v>79</v>
      </c>
      <c r="R234" s="33" t="s">
        <v>79</v>
      </c>
      <c r="S234" s="33" t="s">
        <v>79</v>
      </c>
      <c r="T234" s="33"/>
      <c r="U234" s="85"/>
    </row>
    <row r="235" spans="1:24" ht="34.5" x14ac:dyDescent="0.35">
      <c r="B235" s="60"/>
      <c r="C235" s="63" t="s">
        <v>43</v>
      </c>
      <c r="D235" s="20" t="s">
        <v>3</v>
      </c>
      <c r="E235" s="21" t="s">
        <v>1294</v>
      </c>
      <c r="F235" s="22" t="s">
        <v>1296</v>
      </c>
      <c r="G235" s="23" t="s">
        <v>1909</v>
      </c>
      <c r="H235" s="23" t="s">
        <v>5</v>
      </c>
      <c r="I235" s="52" t="s">
        <v>361</v>
      </c>
      <c r="J235" s="23"/>
      <c r="K235" s="23"/>
      <c r="L235" s="23"/>
      <c r="M235" s="23"/>
      <c r="N235" s="10" t="s">
        <v>94</v>
      </c>
      <c r="O235" s="10" t="s">
        <v>194</v>
      </c>
      <c r="P235" s="10" t="s">
        <v>94</v>
      </c>
      <c r="Q235" s="10" t="s">
        <v>79</v>
      </c>
      <c r="R235" s="33" t="s">
        <v>79</v>
      </c>
      <c r="S235" s="33" t="s">
        <v>79</v>
      </c>
      <c r="T235" s="11"/>
      <c r="U235" s="81"/>
    </row>
    <row r="236" spans="1:24" ht="34.5" x14ac:dyDescent="0.35">
      <c r="B236" s="60"/>
      <c r="C236" s="63" t="s">
        <v>43</v>
      </c>
      <c r="D236" s="20" t="s">
        <v>3</v>
      </c>
      <c r="E236" s="21" t="s">
        <v>1295</v>
      </c>
      <c r="F236" s="22" t="s">
        <v>1910</v>
      </c>
      <c r="G236" s="23" t="s">
        <v>1926</v>
      </c>
      <c r="H236" s="23" t="s">
        <v>5</v>
      </c>
      <c r="I236" s="52" t="s">
        <v>359</v>
      </c>
      <c r="J236" s="23"/>
      <c r="K236" s="23"/>
      <c r="L236" s="23"/>
      <c r="M236" s="23"/>
      <c r="N236" s="10" t="s">
        <v>94</v>
      </c>
      <c r="O236" s="10" t="s">
        <v>194</v>
      </c>
      <c r="P236" s="10" t="s">
        <v>94</v>
      </c>
      <c r="Q236" s="10" t="s">
        <v>79</v>
      </c>
      <c r="R236" s="11" t="s">
        <v>364</v>
      </c>
      <c r="S236" s="33" t="s">
        <v>79</v>
      </c>
      <c r="T236" s="11"/>
      <c r="U236" s="81"/>
    </row>
    <row r="237" spans="1:24" ht="92" x14ac:dyDescent="0.35">
      <c r="B237" s="60"/>
      <c r="C237" s="63" t="s">
        <v>43</v>
      </c>
      <c r="D237" s="42" t="s">
        <v>1</v>
      </c>
      <c r="E237" s="43" t="s">
        <v>214</v>
      </c>
      <c r="F237" s="14" t="s">
        <v>215</v>
      </c>
      <c r="G237" s="15" t="s">
        <v>1911</v>
      </c>
      <c r="H237" s="35" t="s">
        <v>5</v>
      </c>
      <c r="I237" s="55"/>
      <c r="J237" s="15" t="s">
        <v>768</v>
      </c>
      <c r="K237" s="15" t="s">
        <v>767</v>
      </c>
      <c r="L237" s="15" t="s">
        <v>769</v>
      </c>
      <c r="M237" s="15" t="s">
        <v>770</v>
      </c>
      <c r="N237" s="10" t="s">
        <v>94</v>
      </c>
      <c r="O237" s="10" t="s">
        <v>216</v>
      </c>
      <c r="P237" s="10" t="s">
        <v>94</v>
      </c>
      <c r="Q237" s="10" t="s">
        <v>79</v>
      </c>
      <c r="R237" s="33" t="s">
        <v>79</v>
      </c>
      <c r="S237" s="33" t="s">
        <v>79</v>
      </c>
      <c r="T237" s="33"/>
      <c r="U237" s="85"/>
    </row>
    <row r="238" spans="1:24" ht="34.5" x14ac:dyDescent="0.35">
      <c r="B238" s="60"/>
      <c r="C238" s="63" t="s">
        <v>43</v>
      </c>
      <c r="D238" s="44" t="s">
        <v>2</v>
      </c>
      <c r="E238" s="24" t="s">
        <v>217</v>
      </c>
      <c r="F238" s="18" t="s">
        <v>1912</v>
      </c>
      <c r="G238" s="19" t="s">
        <v>1913</v>
      </c>
      <c r="H238" s="26" t="s">
        <v>5</v>
      </c>
      <c r="I238" s="53"/>
      <c r="J238" s="26"/>
      <c r="K238" s="26"/>
      <c r="L238" s="26"/>
      <c r="M238" s="26"/>
      <c r="N238" s="10" t="s">
        <v>94</v>
      </c>
      <c r="O238" s="10" t="s">
        <v>1003</v>
      </c>
      <c r="P238" s="10" t="s">
        <v>94</v>
      </c>
      <c r="Q238" s="10" t="s">
        <v>79</v>
      </c>
      <c r="R238" s="33" t="s">
        <v>79</v>
      </c>
      <c r="S238" s="33" t="s">
        <v>79</v>
      </c>
      <c r="T238" s="11" t="s">
        <v>326</v>
      </c>
      <c r="U238" s="85"/>
    </row>
    <row r="239" spans="1:24" ht="57.5" x14ac:dyDescent="0.35">
      <c r="B239" s="60"/>
      <c r="C239" s="63" t="s">
        <v>43</v>
      </c>
      <c r="D239" s="20" t="s">
        <v>3</v>
      </c>
      <c r="E239" s="21" t="s">
        <v>1299</v>
      </c>
      <c r="F239" s="22" t="s">
        <v>1914</v>
      </c>
      <c r="G239" s="23" t="s">
        <v>1915</v>
      </c>
      <c r="H239" s="23" t="s">
        <v>5</v>
      </c>
      <c r="I239" s="52" t="s">
        <v>363</v>
      </c>
      <c r="J239" s="23" t="s">
        <v>1305</v>
      </c>
      <c r="K239" s="23" t="s">
        <v>1306</v>
      </c>
      <c r="L239" s="23" t="s">
        <v>1307</v>
      </c>
      <c r="M239" s="23" t="s">
        <v>1308</v>
      </c>
      <c r="N239" s="10" t="s">
        <v>94</v>
      </c>
      <c r="O239" s="10" t="s">
        <v>1003</v>
      </c>
      <c r="P239" s="10" t="s">
        <v>94</v>
      </c>
      <c r="Q239" s="10" t="s">
        <v>79</v>
      </c>
      <c r="R239" s="33" t="s">
        <v>79</v>
      </c>
      <c r="S239" s="33" t="s">
        <v>79</v>
      </c>
      <c r="T239" s="11" t="s">
        <v>326</v>
      </c>
      <c r="U239" s="81"/>
    </row>
    <row r="240" spans="1:24" ht="23" x14ac:dyDescent="0.35">
      <c r="B240" s="60"/>
      <c r="C240" s="63" t="s">
        <v>43</v>
      </c>
      <c r="D240" s="44" t="s">
        <v>2</v>
      </c>
      <c r="E240" s="24" t="s">
        <v>218</v>
      </c>
      <c r="F240" s="18" t="s">
        <v>1916</v>
      </c>
      <c r="G240" s="19" t="s">
        <v>1917</v>
      </c>
      <c r="H240" s="26" t="s">
        <v>5</v>
      </c>
      <c r="I240" s="53"/>
      <c r="J240" s="26"/>
      <c r="K240" s="26"/>
      <c r="L240" s="26"/>
      <c r="M240" s="26"/>
      <c r="N240" s="10" t="s">
        <v>94</v>
      </c>
      <c r="O240" s="10" t="s">
        <v>1003</v>
      </c>
      <c r="P240" s="10" t="s">
        <v>94</v>
      </c>
      <c r="Q240" s="10" t="s">
        <v>79</v>
      </c>
      <c r="R240" s="33" t="s">
        <v>79</v>
      </c>
      <c r="S240" s="33" t="s">
        <v>79</v>
      </c>
      <c r="T240" s="33"/>
      <c r="U240" s="85"/>
    </row>
    <row r="241" spans="1:21" ht="34.5" x14ac:dyDescent="0.35">
      <c r="B241" s="60"/>
      <c r="C241" s="63" t="s">
        <v>43</v>
      </c>
      <c r="D241" s="20" t="s">
        <v>3</v>
      </c>
      <c r="E241" s="21" t="s">
        <v>1300</v>
      </c>
      <c r="F241" s="22" t="s">
        <v>1918</v>
      </c>
      <c r="G241" s="23" t="s">
        <v>1919</v>
      </c>
      <c r="H241" s="23" t="s">
        <v>5</v>
      </c>
      <c r="I241" s="52" t="s">
        <v>363</v>
      </c>
      <c r="J241" s="23"/>
      <c r="K241" s="23"/>
      <c r="L241" s="23"/>
      <c r="M241" s="23"/>
      <c r="N241" s="10" t="s">
        <v>94</v>
      </c>
      <c r="O241" s="10" t="s">
        <v>1301</v>
      </c>
      <c r="P241" s="10" t="s">
        <v>94</v>
      </c>
      <c r="Q241" s="10" t="s">
        <v>79</v>
      </c>
      <c r="R241" s="11" t="s">
        <v>79</v>
      </c>
      <c r="S241" s="11" t="s">
        <v>79</v>
      </c>
      <c r="T241" s="11"/>
      <c r="U241" s="81"/>
    </row>
    <row r="242" spans="1:21" ht="46" x14ac:dyDescent="0.35">
      <c r="B242" s="60"/>
      <c r="C242" s="63" t="s">
        <v>43</v>
      </c>
      <c r="D242" s="20" t="s">
        <v>3</v>
      </c>
      <c r="E242" s="21" t="s">
        <v>1302</v>
      </c>
      <c r="F242" s="22" t="s">
        <v>1289</v>
      </c>
      <c r="G242" s="23" t="s">
        <v>1920</v>
      </c>
      <c r="H242" s="23" t="s">
        <v>5</v>
      </c>
      <c r="I242" s="52" t="s">
        <v>359</v>
      </c>
      <c r="J242" s="23"/>
      <c r="K242" s="23" t="s">
        <v>1303</v>
      </c>
      <c r="L242" s="23" t="s">
        <v>1304</v>
      </c>
      <c r="M242" s="23"/>
      <c r="N242" s="10" t="s">
        <v>94</v>
      </c>
      <c r="O242" s="10" t="s">
        <v>1301</v>
      </c>
      <c r="P242" s="10" t="s">
        <v>94</v>
      </c>
      <c r="Q242" s="10" t="s">
        <v>79</v>
      </c>
      <c r="R242" s="11" t="s">
        <v>79</v>
      </c>
      <c r="S242" s="11" t="s">
        <v>79</v>
      </c>
      <c r="T242" s="11"/>
      <c r="U242" s="81"/>
    </row>
    <row r="243" spans="1:21" ht="23" x14ac:dyDescent="0.35">
      <c r="B243" s="60"/>
      <c r="C243" s="63" t="s">
        <v>43</v>
      </c>
      <c r="D243" s="44" t="s">
        <v>54</v>
      </c>
      <c r="E243" s="17" t="s">
        <v>219</v>
      </c>
      <c r="F243" s="18" t="s">
        <v>1921</v>
      </c>
      <c r="G243" s="26" t="s">
        <v>211</v>
      </c>
      <c r="H243" s="26" t="s">
        <v>5</v>
      </c>
      <c r="I243" s="51" t="s">
        <v>363</v>
      </c>
      <c r="J243" s="26"/>
      <c r="K243" s="26"/>
      <c r="L243" s="26"/>
      <c r="M243" s="26"/>
      <c r="N243" s="10" t="s">
        <v>94</v>
      </c>
      <c r="O243" s="10" t="s">
        <v>94</v>
      </c>
      <c r="P243" s="10" t="s">
        <v>94</v>
      </c>
      <c r="Q243" s="10" t="s">
        <v>79</v>
      </c>
      <c r="R243" s="33" t="s">
        <v>79</v>
      </c>
      <c r="S243" s="33" t="s">
        <v>79</v>
      </c>
      <c r="T243" s="33"/>
      <c r="U243" s="85"/>
    </row>
    <row r="244" spans="1:21" ht="34.5" x14ac:dyDescent="0.35">
      <c r="B244" s="60"/>
      <c r="C244" s="63" t="s">
        <v>43</v>
      </c>
      <c r="D244" s="20" t="s">
        <v>3</v>
      </c>
      <c r="E244" s="21" t="s">
        <v>1309</v>
      </c>
      <c r="F244" s="22" t="s">
        <v>1311</v>
      </c>
      <c r="G244" s="23" t="s">
        <v>1922</v>
      </c>
      <c r="H244" s="23" t="s">
        <v>5</v>
      </c>
      <c r="I244" s="52" t="s">
        <v>363</v>
      </c>
      <c r="J244" s="23"/>
      <c r="K244" s="23"/>
      <c r="L244" s="23"/>
      <c r="M244" s="23"/>
      <c r="N244" s="10" t="s">
        <v>94</v>
      </c>
      <c r="O244" s="10" t="s">
        <v>94</v>
      </c>
      <c r="P244" s="10" t="s">
        <v>94</v>
      </c>
      <c r="Q244" s="10" t="s">
        <v>79</v>
      </c>
      <c r="R244" s="11" t="s">
        <v>79</v>
      </c>
      <c r="S244" s="11" t="s">
        <v>79</v>
      </c>
      <c r="T244" s="11"/>
      <c r="U244" s="81"/>
    </row>
    <row r="245" spans="1:21" ht="57.5" x14ac:dyDescent="0.35">
      <c r="B245" s="60"/>
      <c r="C245" s="63" t="s">
        <v>43</v>
      </c>
      <c r="D245" s="20" t="s">
        <v>3</v>
      </c>
      <c r="E245" s="21" t="s">
        <v>1310</v>
      </c>
      <c r="F245" s="22" t="s">
        <v>1293</v>
      </c>
      <c r="G245" s="23" t="s">
        <v>1923</v>
      </c>
      <c r="H245" s="109" t="str">
        <f>"Decision 
If yes, proceed to step "&amp;E246&amp;" 
If no, proceed to "&amp;E241&amp;""</f>
        <v>Decision 
If yes, proceed to step 4.2.6 
If no, proceed to 4.2.2.1</v>
      </c>
      <c r="I245" s="52" t="s">
        <v>363</v>
      </c>
      <c r="J245" s="23"/>
      <c r="K245" s="23"/>
      <c r="L245" s="23"/>
      <c r="M245" s="23"/>
      <c r="N245" s="10" t="s">
        <v>94</v>
      </c>
      <c r="O245" s="10" t="s">
        <v>94</v>
      </c>
      <c r="P245" s="10" t="s">
        <v>94</v>
      </c>
      <c r="Q245" s="10" t="s">
        <v>79</v>
      </c>
      <c r="R245" s="11" t="s">
        <v>79</v>
      </c>
      <c r="S245" s="11" t="s">
        <v>79</v>
      </c>
      <c r="T245" s="11"/>
      <c r="U245" s="81"/>
    </row>
    <row r="246" spans="1:21" ht="34.5" x14ac:dyDescent="0.35">
      <c r="B246" s="60"/>
      <c r="C246" s="63" t="s">
        <v>43</v>
      </c>
      <c r="D246" s="44" t="s">
        <v>2</v>
      </c>
      <c r="E246" s="24" t="s">
        <v>220</v>
      </c>
      <c r="F246" s="25" t="s">
        <v>221</v>
      </c>
      <c r="G246" s="26" t="s">
        <v>222</v>
      </c>
      <c r="H246" s="26" t="s">
        <v>5</v>
      </c>
      <c r="I246" s="53" t="s">
        <v>359</v>
      </c>
      <c r="J246" s="26"/>
      <c r="K246" s="26"/>
      <c r="L246" s="26"/>
      <c r="M246" s="26"/>
      <c r="N246" s="10" t="s">
        <v>94</v>
      </c>
      <c r="O246" s="10" t="s">
        <v>94</v>
      </c>
      <c r="P246" s="10" t="s">
        <v>94</v>
      </c>
      <c r="Q246" s="10" t="s">
        <v>79</v>
      </c>
      <c r="R246" s="33" t="s">
        <v>79</v>
      </c>
      <c r="S246" s="33" t="s">
        <v>79</v>
      </c>
      <c r="T246" s="33"/>
      <c r="U246" s="85"/>
    </row>
    <row r="247" spans="1:21" ht="34.5" x14ac:dyDescent="0.35">
      <c r="B247" s="60"/>
      <c r="C247" s="63" t="s">
        <v>43</v>
      </c>
      <c r="D247" s="20" t="s">
        <v>3</v>
      </c>
      <c r="E247" s="21" t="s">
        <v>1312</v>
      </c>
      <c r="F247" s="22" t="s">
        <v>1296</v>
      </c>
      <c r="G247" s="23" t="s">
        <v>1924</v>
      </c>
      <c r="H247" s="23" t="s">
        <v>5</v>
      </c>
      <c r="I247" s="52" t="s">
        <v>359</v>
      </c>
      <c r="J247" s="23"/>
      <c r="K247" s="23"/>
      <c r="L247" s="23"/>
      <c r="M247" s="23"/>
      <c r="N247" s="10" t="s">
        <v>94</v>
      </c>
      <c r="O247" s="10" t="s">
        <v>94</v>
      </c>
      <c r="P247" s="10" t="s">
        <v>94</v>
      </c>
      <c r="Q247" s="10" t="s">
        <v>79</v>
      </c>
      <c r="R247" s="11" t="s">
        <v>364</v>
      </c>
      <c r="S247" s="11" t="s">
        <v>79</v>
      </c>
      <c r="T247" s="11"/>
      <c r="U247" s="81"/>
    </row>
    <row r="248" spans="1:21" ht="34.5" x14ac:dyDescent="0.35">
      <c r="B248" s="60"/>
      <c r="C248" s="63" t="s">
        <v>43</v>
      </c>
      <c r="D248" s="20" t="s">
        <v>3</v>
      </c>
      <c r="E248" s="21" t="s">
        <v>1313</v>
      </c>
      <c r="F248" s="22" t="s">
        <v>1297</v>
      </c>
      <c r="G248" s="23" t="s">
        <v>1925</v>
      </c>
      <c r="H248" s="23" t="s">
        <v>5</v>
      </c>
      <c r="I248" s="52" t="s">
        <v>359</v>
      </c>
      <c r="J248" s="23"/>
      <c r="K248" s="23"/>
      <c r="L248" s="23"/>
      <c r="M248" s="23"/>
      <c r="N248" s="10" t="s">
        <v>94</v>
      </c>
      <c r="O248" s="10" t="s">
        <v>94</v>
      </c>
      <c r="P248" s="10" t="s">
        <v>94</v>
      </c>
      <c r="Q248" s="10" t="s">
        <v>79</v>
      </c>
      <c r="R248" s="11" t="s">
        <v>364</v>
      </c>
      <c r="S248" s="11" t="s">
        <v>79</v>
      </c>
      <c r="T248" s="11"/>
      <c r="U248" s="81"/>
    </row>
    <row r="249" spans="1:21" ht="126.5" x14ac:dyDescent="0.35">
      <c r="B249" s="60"/>
      <c r="C249" s="63" t="s">
        <v>43</v>
      </c>
      <c r="D249" s="6" t="s">
        <v>0</v>
      </c>
      <c r="E249" s="7" t="s">
        <v>223</v>
      </c>
      <c r="F249" s="8" t="s">
        <v>224</v>
      </c>
      <c r="G249" s="9" t="s">
        <v>1927</v>
      </c>
      <c r="H249" s="9" t="s">
        <v>5</v>
      </c>
      <c r="I249" s="49"/>
      <c r="J249" s="9" t="s">
        <v>772</v>
      </c>
      <c r="K249" s="9" t="s">
        <v>771</v>
      </c>
      <c r="L249" s="9" t="s">
        <v>773</v>
      </c>
      <c r="M249" s="9" t="s">
        <v>774</v>
      </c>
      <c r="N249" s="10"/>
      <c r="O249" s="10"/>
      <c r="P249" s="10"/>
      <c r="Q249" s="10"/>
      <c r="R249" s="33" t="s">
        <v>79</v>
      </c>
      <c r="S249" s="11" t="s">
        <v>79</v>
      </c>
      <c r="T249" s="11" t="s">
        <v>326</v>
      </c>
      <c r="U249" s="80"/>
    </row>
    <row r="250" spans="1:21" ht="92" x14ac:dyDescent="0.35">
      <c r="B250" s="60"/>
      <c r="C250" s="63" t="s">
        <v>43</v>
      </c>
      <c r="D250" s="12" t="s">
        <v>1</v>
      </c>
      <c r="E250" s="13" t="s">
        <v>225</v>
      </c>
      <c r="F250" s="14" t="s">
        <v>226</v>
      </c>
      <c r="G250" s="15" t="s">
        <v>1928</v>
      </c>
      <c r="H250" s="15" t="s">
        <v>5</v>
      </c>
      <c r="I250" s="50"/>
      <c r="J250" s="15" t="s">
        <v>776</v>
      </c>
      <c r="K250" s="15" t="s">
        <v>775</v>
      </c>
      <c r="L250" s="15" t="s">
        <v>777</v>
      </c>
      <c r="M250" s="15" t="s">
        <v>778</v>
      </c>
      <c r="N250" s="10" t="s">
        <v>94</v>
      </c>
      <c r="O250" s="10" t="s">
        <v>227</v>
      </c>
      <c r="P250" s="10" t="s">
        <v>94</v>
      </c>
      <c r="Q250" s="10" t="s">
        <v>28</v>
      </c>
      <c r="R250" s="33" t="s">
        <v>79</v>
      </c>
      <c r="S250" s="11" t="s">
        <v>79</v>
      </c>
      <c r="T250" s="11" t="s">
        <v>326</v>
      </c>
      <c r="U250" s="81"/>
    </row>
    <row r="251" spans="1:21" ht="23" x14ac:dyDescent="0.35">
      <c r="B251" s="60"/>
      <c r="C251" s="63" t="s">
        <v>43</v>
      </c>
      <c r="D251" s="16" t="s">
        <v>2</v>
      </c>
      <c r="E251" s="17" t="s">
        <v>228</v>
      </c>
      <c r="F251" s="18" t="s">
        <v>1930</v>
      </c>
      <c r="G251" s="19" t="s">
        <v>1947</v>
      </c>
      <c r="H251" s="19" t="s">
        <v>5</v>
      </c>
      <c r="I251" s="19" t="s">
        <v>363</v>
      </c>
      <c r="J251" s="19"/>
      <c r="K251" s="19"/>
      <c r="L251" s="19"/>
      <c r="M251" s="19"/>
      <c r="N251" s="10"/>
      <c r="O251" s="10"/>
      <c r="P251" s="10"/>
      <c r="Q251" s="10"/>
      <c r="R251" s="11" t="s">
        <v>79</v>
      </c>
      <c r="S251" s="11" t="s">
        <v>79</v>
      </c>
      <c r="T251" s="11"/>
      <c r="U251" s="81"/>
    </row>
    <row r="252" spans="1:21" ht="23" x14ac:dyDescent="0.35">
      <c r="B252" s="60"/>
      <c r="C252" s="63" t="s">
        <v>43</v>
      </c>
      <c r="D252" s="20" t="s">
        <v>3</v>
      </c>
      <c r="E252" s="21" t="s">
        <v>1439</v>
      </c>
      <c r="F252" s="22" t="s">
        <v>1931</v>
      </c>
      <c r="G252" s="23" t="s">
        <v>1946</v>
      </c>
      <c r="H252" s="23" t="s">
        <v>5</v>
      </c>
      <c r="I252" s="23" t="s">
        <v>363</v>
      </c>
      <c r="J252" s="97"/>
      <c r="K252" s="97"/>
      <c r="L252" s="97"/>
      <c r="M252" s="97"/>
      <c r="N252" s="99"/>
      <c r="O252" s="99"/>
      <c r="P252" s="99"/>
      <c r="Q252" s="99"/>
      <c r="R252" s="11" t="s">
        <v>79</v>
      </c>
      <c r="S252" s="11" t="s">
        <v>79</v>
      </c>
      <c r="T252" s="100"/>
      <c r="U252" s="101"/>
    </row>
    <row r="253" spans="1:21" ht="46" x14ac:dyDescent="0.35">
      <c r="B253" s="60"/>
      <c r="C253" s="63" t="s">
        <v>43</v>
      </c>
      <c r="D253" s="20" t="s">
        <v>3</v>
      </c>
      <c r="E253" s="21" t="s">
        <v>1441</v>
      </c>
      <c r="F253" s="22" t="s">
        <v>1933</v>
      </c>
      <c r="G253" s="23" t="s">
        <v>1932</v>
      </c>
      <c r="H253" s="23" t="s">
        <v>5</v>
      </c>
      <c r="I253" s="23" t="s">
        <v>361</v>
      </c>
      <c r="J253" s="97"/>
      <c r="K253" s="97"/>
      <c r="L253" s="97"/>
      <c r="M253" s="97"/>
      <c r="N253" s="99"/>
      <c r="O253" s="99"/>
      <c r="P253" s="99"/>
      <c r="Q253" s="99"/>
      <c r="R253" s="11" t="s">
        <v>79</v>
      </c>
      <c r="S253" s="11" t="s">
        <v>79</v>
      </c>
      <c r="T253" s="100"/>
      <c r="U253" s="101"/>
    </row>
    <row r="254" spans="1:21" ht="57.5" x14ac:dyDescent="0.35">
      <c r="B254" s="60"/>
      <c r="C254" s="63" t="s">
        <v>1457</v>
      </c>
      <c r="D254" s="16" t="s">
        <v>2</v>
      </c>
      <c r="E254" s="17" t="s">
        <v>230</v>
      </c>
      <c r="F254" s="18" t="s">
        <v>229</v>
      </c>
      <c r="G254" s="19" t="s">
        <v>1929</v>
      </c>
      <c r="H254" s="19" t="s">
        <v>5</v>
      </c>
      <c r="I254" s="51" t="s">
        <v>361</v>
      </c>
      <c r="J254" s="19" t="s">
        <v>780</v>
      </c>
      <c r="K254" s="19" t="s">
        <v>779</v>
      </c>
      <c r="L254" s="19" t="s">
        <v>781</v>
      </c>
      <c r="M254" s="19" t="s">
        <v>398</v>
      </c>
      <c r="N254" s="10" t="s">
        <v>94</v>
      </c>
      <c r="O254" s="10" t="s">
        <v>227</v>
      </c>
      <c r="P254" s="10" t="s">
        <v>94</v>
      </c>
      <c r="Q254" s="10" t="s">
        <v>984</v>
      </c>
      <c r="R254" s="11" t="s">
        <v>1655</v>
      </c>
      <c r="S254" s="11" t="s">
        <v>79</v>
      </c>
      <c r="T254" s="11"/>
      <c r="U254" s="81"/>
    </row>
    <row r="255" spans="1:21" ht="57.5" x14ac:dyDescent="0.35">
      <c r="B255" s="60" t="s">
        <v>35</v>
      </c>
      <c r="C255" s="63" t="s">
        <v>1493</v>
      </c>
      <c r="D255" s="95" t="s">
        <v>3</v>
      </c>
      <c r="E255" s="21" t="s">
        <v>1454</v>
      </c>
      <c r="F255" s="22" t="s">
        <v>1440</v>
      </c>
      <c r="G255" s="23" t="s">
        <v>2027</v>
      </c>
      <c r="H255" s="97" t="s">
        <v>5</v>
      </c>
      <c r="I255" s="98" t="s">
        <v>359</v>
      </c>
      <c r="J255" s="97" t="s">
        <v>1442</v>
      </c>
      <c r="K255" s="97" t="s">
        <v>1443</v>
      </c>
      <c r="L255" s="97" t="s">
        <v>1444</v>
      </c>
      <c r="M255" s="97" t="s">
        <v>1445</v>
      </c>
      <c r="N255" s="99" t="s">
        <v>94</v>
      </c>
      <c r="O255" s="99" t="s">
        <v>79</v>
      </c>
      <c r="P255" s="99" t="s">
        <v>94</v>
      </c>
      <c r="Q255" s="99" t="s">
        <v>94</v>
      </c>
      <c r="R255" s="11" t="s">
        <v>1655</v>
      </c>
      <c r="S255" s="100" t="s">
        <v>79</v>
      </c>
      <c r="T255" s="100"/>
      <c r="U255" s="101"/>
    </row>
    <row r="256" spans="1:21" ht="57.5" x14ac:dyDescent="0.35">
      <c r="A256" s="123" t="s">
        <v>1720</v>
      </c>
      <c r="B256" s="60" t="s">
        <v>35</v>
      </c>
      <c r="C256" s="94" t="s">
        <v>96</v>
      </c>
      <c r="D256" s="95" t="s">
        <v>3</v>
      </c>
      <c r="E256" s="21" t="s">
        <v>1455</v>
      </c>
      <c r="F256" s="22" t="s">
        <v>2028</v>
      </c>
      <c r="G256" s="23" t="s">
        <v>2029</v>
      </c>
      <c r="H256" s="97" t="s">
        <v>5</v>
      </c>
      <c r="I256" s="98" t="s">
        <v>359</v>
      </c>
      <c r="J256" s="97" t="s">
        <v>1446</v>
      </c>
      <c r="K256" s="97" t="s">
        <v>1447</v>
      </c>
      <c r="L256" s="97" t="s">
        <v>1448</v>
      </c>
      <c r="M256" s="97" t="s">
        <v>1449</v>
      </c>
      <c r="N256" s="99" t="s">
        <v>94</v>
      </c>
      <c r="O256" s="99" t="s">
        <v>79</v>
      </c>
      <c r="P256" s="99" t="s">
        <v>94</v>
      </c>
      <c r="Q256" s="99" t="s">
        <v>94</v>
      </c>
      <c r="R256" s="11" t="s">
        <v>1655</v>
      </c>
      <c r="S256" s="100" t="s">
        <v>79</v>
      </c>
      <c r="T256" s="100"/>
      <c r="U256" s="101"/>
    </row>
    <row r="257" spans="1:21" ht="57.5" x14ac:dyDescent="0.35">
      <c r="A257" s="123" t="s">
        <v>1720</v>
      </c>
      <c r="B257" s="60" t="s">
        <v>35</v>
      </c>
      <c r="C257" s="94" t="s">
        <v>96</v>
      </c>
      <c r="D257" s="95" t="s">
        <v>3</v>
      </c>
      <c r="E257" s="21" t="s">
        <v>1456</v>
      </c>
      <c r="F257" s="22" t="s">
        <v>1948</v>
      </c>
      <c r="G257" s="23" t="s">
        <v>1968</v>
      </c>
      <c r="H257" s="97" t="s">
        <v>5</v>
      </c>
      <c r="I257" s="98" t="s">
        <v>359</v>
      </c>
      <c r="J257" s="97" t="s">
        <v>1450</v>
      </c>
      <c r="K257" s="97" t="s">
        <v>1453</v>
      </c>
      <c r="L257" s="97" t="s">
        <v>1451</v>
      </c>
      <c r="M257" s="97" t="s">
        <v>1452</v>
      </c>
      <c r="N257" s="99" t="s">
        <v>94</v>
      </c>
      <c r="O257" s="99" t="s">
        <v>79</v>
      </c>
      <c r="P257" s="99" t="s">
        <v>94</v>
      </c>
      <c r="Q257" s="99" t="s">
        <v>975</v>
      </c>
      <c r="R257" s="11" t="s">
        <v>1655</v>
      </c>
      <c r="S257" s="100" t="s">
        <v>79</v>
      </c>
      <c r="T257" s="11" t="s">
        <v>326</v>
      </c>
      <c r="U257" s="101"/>
    </row>
    <row r="258" spans="1:21" ht="34.5" x14ac:dyDescent="0.35">
      <c r="A258" s="123" t="s">
        <v>1720</v>
      </c>
      <c r="B258" s="60" t="s">
        <v>35</v>
      </c>
      <c r="C258" s="63" t="s">
        <v>1493</v>
      </c>
      <c r="D258" s="95" t="s">
        <v>3</v>
      </c>
      <c r="E258" s="21" t="s">
        <v>1460</v>
      </c>
      <c r="F258" s="22" t="s">
        <v>1949</v>
      </c>
      <c r="G258" s="23" t="s">
        <v>2030</v>
      </c>
      <c r="H258" s="97" t="s">
        <v>5</v>
      </c>
      <c r="I258" s="98" t="s">
        <v>359</v>
      </c>
      <c r="J258" s="97"/>
      <c r="K258" s="97"/>
      <c r="L258" s="97"/>
      <c r="M258" s="97"/>
      <c r="N258" s="99"/>
      <c r="O258" s="99"/>
      <c r="P258" s="99"/>
      <c r="Q258" s="99"/>
      <c r="R258" s="11" t="s">
        <v>1655</v>
      </c>
      <c r="S258" s="100" t="s">
        <v>79</v>
      </c>
      <c r="T258" s="11"/>
      <c r="U258" s="101"/>
    </row>
    <row r="259" spans="1:21" ht="34.5" x14ac:dyDescent="0.35">
      <c r="A259" s="123" t="s">
        <v>1720</v>
      </c>
      <c r="B259" s="60" t="s">
        <v>35</v>
      </c>
      <c r="C259" s="63" t="s">
        <v>1493</v>
      </c>
      <c r="D259" s="95" t="s">
        <v>3</v>
      </c>
      <c r="E259" s="21" t="s">
        <v>1461</v>
      </c>
      <c r="F259" s="22" t="s">
        <v>1950</v>
      </c>
      <c r="G259" s="23" t="s">
        <v>1967</v>
      </c>
      <c r="H259" s="97" t="s">
        <v>5</v>
      </c>
      <c r="I259" s="98" t="s">
        <v>359</v>
      </c>
      <c r="J259" s="97"/>
      <c r="K259" s="97"/>
      <c r="L259" s="97"/>
      <c r="M259" s="97"/>
      <c r="N259" s="99"/>
      <c r="O259" s="99"/>
      <c r="P259" s="99"/>
      <c r="Q259" s="99"/>
      <c r="R259" s="11" t="s">
        <v>1655</v>
      </c>
      <c r="S259" s="100" t="s">
        <v>79</v>
      </c>
      <c r="T259" s="11"/>
      <c r="U259" s="101"/>
    </row>
    <row r="260" spans="1:21" ht="46" x14ac:dyDescent="0.35">
      <c r="A260" s="123" t="s">
        <v>1720</v>
      </c>
      <c r="B260" s="60" t="s">
        <v>35</v>
      </c>
      <c r="C260" s="63" t="s">
        <v>1493</v>
      </c>
      <c r="D260" s="95" t="s">
        <v>3</v>
      </c>
      <c r="E260" s="21" t="s">
        <v>1954</v>
      </c>
      <c r="F260" s="22" t="s">
        <v>1951</v>
      </c>
      <c r="G260" s="23" t="s">
        <v>1969</v>
      </c>
      <c r="H260" s="97" t="s">
        <v>5</v>
      </c>
      <c r="I260" s="98" t="s">
        <v>359</v>
      </c>
      <c r="J260" s="97"/>
      <c r="K260" s="97"/>
      <c r="L260" s="97"/>
      <c r="M260" s="97"/>
      <c r="N260" s="99"/>
      <c r="O260" s="99"/>
      <c r="P260" s="99"/>
      <c r="Q260" s="99"/>
      <c r="R260" s="11" t="s">
        <v>1655</v>
      </c>
      <c r="S260" s="100" t="s">
        <v>79</v>
      </c>
      <c r="T260" s="11"/>
      <c r="U260" s="101"/>
    </row>
    <row r="261" spans="1:21" ht="34.5" x14ac:dyDescent="0.35">
      <c r="A261" s="123" t="s">
        <v>1720</v>
      </c>
      <c r="B261" s="60" t="s">
        <v>35</v>
      </c>
      <c r="C261" s="63" t="s">
        <v>1493</v>
      </c>
      <c r="D261" s="95" t="s">
        <v>3</v>
      </c>
      <c r="E261" s="21" t="s">
        <v>1955</v>
      </c>
      <c r="F261" s="22" t="s">
        <v>2031</v>
      </c>
      <c r="G261" s="23" t="s">
        <v>2032</v>
      </c>
      <c r="H261" s="97" t="s">
        <v>5</v>
      </c>
      <c r="I261" s="52" t="s">
        <v>363</v>
      </c>
      <c r="J261" s="97"/>
      <c r="K261" s="97"/>
      <c r="L261" s="97"/>
      <c r="M261" s="97"/>
      <c r="N261" s="99"/>
      <c r="O261" s="99"/>
      <c r="P261" s="99"/>
      <c r="Q261" s="99"/>
      <c r="R261" s="11" t="s">
        <v>1655</v>
      </c>
      <c r="S261" s="100" t="s">
        <v>79</v>
      </c>
      <c r="T261" s="11" t="s">
        <v>1651</v>
      </c>
      <c r="U261" s="101"/>
    </row>
    <row r="262" spans="1:21" ht="23" x14ac:dyDescent="0.35">
      <c r="A262" s="123" t="s">
        <v>1720</v>
      </c>
      <c r="B262" s="60" t="s">
        <v>35</v>
      </c>
      <c r="C262" s="63" t="s">
        <v>1976</v>
      </c>
      <c r="D262" s="95" t="s">
        <v>3</v>
      </c>
      <c r="E262" s="21" t="s">
        <v>1956</v>
      </c>
      <c r="F262" s="22" t="s">
        <v>1977</v>
      </c>
      <c r="G262" s="23" t="s">
        <v>1978</v>
      </c>
      <c r="H262" s="97" t="s">
        <v>5</v>
      </c>
      <c r="I262" s="98" t="s">
        <v>359</v>
      </c>
      <c r="J262" s="97"/>
      <c r="K262" s="97"/>
      <c r="L262" s="97"/>
      <c r="M262" s="97"/>
      <c r="N262" s="99"/>
      <c r="O262" s="99"/>
      <c r="P262" s="99"/>
      <c r="Q262" s="99"/>
      <c r="R262" s="11" t="s">
        <v>1655</v>
      </c>
      <c r="S262" s="100" t="s">
        <v>79</v>
      </c>
      <c r="T262" s="11"/>
      <c r="U262" s="101"/>
    </row>
    <row r="263" spans="1:21" ht="34.5" x14ac:dyDescent="0.35">
      <c r="A263" s="123" t="s">
        <v>1720</v>
      </c>
      <c r="B263" s="60" t="s">
        <v>35</v>
      </c>
      <c r="C263" s="63" t="s">
        <v>1493</v>
      </c>
      <c r="D263" s="95" t="s">
        <v>3</v>
      </c>
      <c r="E263" s="21" t="s">
        <v>1957</v>
      </c>
      <c r="F263" s="22" t="s">
        <v>2033</v>
      </c>
      <c r="G263" s="23" t="s">
        <v>2038</v>
      </c>
      <c r="H263" s="97" t="s">
        <v>5</v>
      </c>
      <c r="I263" s="98" t="s">
        <v>359</v>
      </c>
      <c r="J263" s="97"/>
      <c r="K263" s="97"/>
      <c r="L263" s="97"/>
      <c r="M263" s="97"/>
      <c r="N263" s="99"/>
      <c r="O263" s="99"/>
      <c r="P263" s="99"/>
      <c r="Q263" s="99"/>
      <c r="R263" s="11" t="s">
        <v>1655</v>
      </c>
      <c r="S263" s="100" t="s">
        <v>79</v>
      </c>
      <c r="T263" s="11"/>
      <c r="U263" s="101"/>
    </row>
    <row r="264" spans="1:21" ht="34.5" x14ac:dyDescent="0.35">
      <c r="B264" s="60" t="s">
        <v>35</v>
      </c>
      <c r="C264" s="63" t="s">
        <v>1457</v>
      </c>
      <c r="D264" s="16" t="s">
        <v>2</v>
      </c>
      <c r="E264" s="17" t="s">
        <v>231</v>
      </c>
      <c r="F264" s="18" t="s">
        <v>1958</v>
      </c>
      <c r="G264" s="19" t="s">
        <v>1959</v>
      </c>
      <c r="H264" s="19" t="s">
        <v>5</v>
      </c>
      <c r="I264" s="51"/>
      <c r="J264" s="26"/>
      <c r="K264" s="26"/>
      <c r="L264" s="26"/>
      <c r="M264" s="26"/>
      <c r="N264" s="10" t="s">
        <v>94</v>
      </c>
      <c r="O264" s="10" t="s">
        <v>227</v>
      </c>
      <c r="P264" s="10" t="s">
        <v>94</v>
      </c>
      <c r="Q264" s="10" t="s">
        <v>984</v>
      </c>
      <c r="R264" s="11" t="s">
        <v>1655</v>
      </c>
      <c r="S264" s="11" t="s">
        <v>79</v>
      </c>
      <c r="T264" s="11" t="s">
        <v>326</v>
      </c>
      <c r="U264" s="81"/>
    </row>
    <row r="265" spans="1:21" ht="92" x14ac:dyDescent="0.35">
      <c r="B265" s="60" t="s">
        <v>35</v>
      </c>
      <c r="C265" s="94" t="s">
        <v>1479</v>
      </c>
      <c r="D265" s="95" t="s">
        <v>3</v>
      </c>
      <c r="E265" s="21" t="s">
        <v>1934</v>
      </c>
      <c r="F265" s="22" t="s">
        <v>1960</v>
      </c>
      <c r="G265" s="23" t="s">
        <v>1961</v>
      </c>
      <c r="H265" s="97" t="s">
        <v>5</v>
      </c>
      <c r="I265" s="98" t="s">
        <v>359</v>
      </c>
      <c r="J265" s="97" t="s">
        <v>1463</v>
      </c>
      <c r="K265" s="97" t="s">
        <v>1464</v>
      </c>
      <c r="L265" s="97" t="s">
        <v>1465</v>
      </c>
      <c r="M265" s="97" t="s">
        <v>1466</v>
      </c>
      <c r="N265" s="99" t="s">
        <v>94</v>
      </c>
      <c r="O265" s="99" t="s">
        <v>79</v>
      </c>
      <c r="P265" s="99" t="s">
        <v>94</v>
      </c>
      <c r="Q265" s="99" t="s">
        <v>94</v>
      </c>
      <c r="R265" s="11" t="s">
        <v>1655</v>
      </c>
      <c r="S265" s="100" t="s">
        <v>79</v>
      </c>
      <c r="T265" s="100"/>
      <c r="U265" s="101"/>
    </row>
    <row r="266" spans="1:21" ht="69" x14ac:dyDescent="0.35">
      <c r="B266" s="60" t="s">
        <v>35</v>
      </c>
      <c r="C266" s="94" t="s">
        <v>1457</v>
      </c>
      <c r="D266" s="95" t="s">
        <v>3</v>
      </c>
      <c r="E266" s="21" t="s">
        <v>1935</v>
      </c>
      <c r="F266" s="86" t="s">
        <v>1459</v>
      </c>
      <c r="G266" s="23" t="s">
        <v>2099</v>
      </c>
      <c r="H266" s="97" t="s">
        <v>5</v>
      </c>
      <c r="I266" s="98" t="s">
        <v>361</v>
      </c>
      <c r="J266" s="97" t="s">
        <v>1467</v>
      </c>
      <c r="K266" s="97" t="s">
        <v>1468</v>
      </c>
      <c r="L266" s="97" t="s">
        <v>1469</v>
      </c>
      <c r="M266" s="97" t="s">
        <v>1470</v>
      </c>
      <c r="N266" s="99" t="s">
        <v>94</v>
      </c>
      <c r="O266" s="99" t="s">
        <v>79</v>
      </c>
      <c r="P266" s="99" t="s">
        <v>94</v>
      </c>
      <c r="Q266" s="99" t="s">
        <v>94</v>
      </c>
      <c r="R266" s="11" t="s">
        <v>1655</v>
      </c>
      <c r="S266" s="100" t="s">
        <v>79</v>
      </c>
      <c r="T266" s="100"/>
      <c r="U266" s="101"/>
    </row>
    <row r="267" spans="1:21" ht="46" x14ac:dyDescent="0.35">
      <c r="A267" s="123" t="s">
        <v>1755</v>
      </c>
      <c r="B267" s="60" t="s">
        <v>35</v>
      </c>
      <c r="C267" s="94" t="s">
        <v>1457</v>
      </c>
      <c r="D267" s="95" t="s">
        <v>3</v>
      </c>
      <c r="E267" s="21" t="s">
        <v>1936</v>
      </c>
      <c r="F267" s="22" t="s">
        <v>1962</v>
      </c>
      <c r="G267" s="23" t="s">
        <v>1963</v>
      </c>
      <c r="H267" s="97" t="s">
        <v>5</v>
      </c>
      <c r="I267" s="98" t="s">
        <v>361</v>
      </c>
      <c r="J267" s="97" t="s">
        <v>1471</v>
      </c>
      <c r="K267" s="97" t="s">
        <v>1472</v>
      </c>
      <c r="L267" s="97" t="s">
        <v>1473</v>
      </c>
      <c r="M267" s="97" t="s">
        <v>1474</v>
      </c>
      <c r="N267" s="99" t="s">
        <v>94</v>
      </c>
      <c r="O267" s="99" t="s">
        <v>79</v>
      </c>
      <c r="P267" s="99" t="s">
        <v>94</v>
      </c>
      <c r="Q267" s="99" t="s">
        <v>982</v>
      </c>
      <c r="R267" s="11" t="s">
        <v>1655</v>
      </c>
      <c r="S267" s="100" t="s">
        <v>79</v>
      </c>
      <c r="T267" s="11" t="s">
        <v>326</v>
      </c>
      <c r="U267" s="101"/>
    </row>
    <row r="268" spans="1:21" ht="23" x14ac:dyDescent="0.35">
      <c r="A268" s="123" t="s">
        <v>1720</v>
      </c>
      <c r="B268" s="60" t="s">
        <v>35</v>
      </c>
      <c r="C268" s="94" t="s">
        <v>1457</v>
      </c>
      <c r="D268" s="95" t="s">
        <v>3</v>
      </c>
      <c r="E268" s="21" t="s">
        <v>1937</v>
      </c>
      <c r="F268" s="22" t="s">
        <v>1970</v>
      </c>
      <c r="G268" s="23" t="s">
        <v>1964</v>
      </c>
      <c r="H268" s="97" t="s">
        <v>5</v>
      </c>
      <c r="I268" s="52" t="s">
        <v>359</v>
      </c>
      <c r="J268" s="97"/>
      <c r="K268" s="97"/>
      <c r="L268" s="97"/>
      <c r="M268" s="97"/>
      <c r="N268" s="99"/>
      <c r="O268" s="99"/>
      <c r="P268" s="99"/>
      <c r="Q268" s="99"/>
      <c r="R268" s="11" t="s">
        <v>1655</v>
      </c>
      <c r="S268" s="100" t="s">
        <v>79</v>
      </c>
      <c r="T268" s="11"/>
      <c r="U268" s="101"/>
    </row>
    <row r="269" spans="1:21" ht="46" x14ac:dyDescent="0.35">
      <c r="A269" s="123" t="s">
        <v>1720</v>
      </c>
      <c r="B269" s="60" t="s">
        <v>35</v>
      </c>
      <c r="C269" s="94" t="s">
        <v>1457</v>
      </c>
      <c r="D269" s="95" t="s">
        <v>3</v>
      </c>
      <c r="E269" s="21" t="s">
        <v>1938</v>
      </c>
      <c r="F269" s="22" t="s">
        <v>1971</v>
      </c>
      <c r="G269" s="23" t="s">
        <v>2036</v>
      </c>
      <c r="H269" s="97" t="s">
        <v>5</v>
      </c>
      <c r="I269" s="52" t="s">
        <v>359</v>
      </c>
      <c r="J269" s="97"/>
      <c r="K269" s="97"/>
      <c r="L269" s="97"/>
      <c r="M269" s="97"/>
      <c r="N269" s="99"/>
      <c r="O269" s="99"/>
      <c r="P269" s="99"/>
      <c r="Q269" s="99"/>
      <c r="R269" s="11" t="s">
        <v>1655</v>
      </c>
      <c r="S269" s="100" t="s">
        <v>79</v>
      </c>
      <c r="T269" s="11"/>
      <c r="U269" s="101"/>
    </row>
    <row r="270" spans="1:21" ht="34.5" x14ac:dyDescent="0.35">
      <c r="A270" s="123" t="s">
        <v>1720</v>
      </c>
      <c r="B270" s="60" t="s">
        <v>35</v>
      </c>
      <c r="C270" s="94" t="s">
        <v>1457</v>
      </c>
      <c r="D270" s="95" t="s">
        <v>3</v>
      </c>
      <c r="E270" s="21" t="s">
        <v>1966</v>
      </c>
      <c r="F270" s="22" t="s">
        <v>1972</v>
      </c>
      <c r="G270" s="23" t="s">
        <v>1965</v>
      </c>
      <c r="H270" s="97" t="s">
        <v>5</v>
      </c>
      <c r="I270" s="52" t="s">
        <v>359</v>
      </c>
      <c r="J270" s="97"/>
      <c r="K270" s="97"/>
      <c r="L270" s="97"/>
      <c r="M270" s="97"/>
      <c r="N270" s="99"/>
      <c r="O270" s="99"/>
      <c r="P270" s="99"/>
      <c r="Q270" s="99"/>
      <c r="R270" s="11" t="s">
        <v>1655</v>
      </c>
      <c r="S270" s="100" t="s">
        <v>79</v>
      </c>
      <c r="T270" s="11"/>
      <c r="U270" s="101"/>
    </row>
    <row r="271" spans="1:21" ht="34.5" x14ac:dyDescent="0.35">
      <c r="A271" s="123" t="s">
        <v>1720</v>
      </c>
      <c r="B271" s="60" t="s">
        <v>35</v>
      </c>
      <c r="C271" s="94" t="s">
        <v>1457</v>
      </c>
      <c r="D271" s="95" t="s">
        <v>3</v>
      </c>
      <c r="E271" s="21" t="s">
        <v>1973</v>
      </c>
      <c r="F271" s="22" t="s">
        <v>2035</v>
      </c>
      <c r="G271" s="23" t="s">
        <v>2037</v>
      </c>
      <c r="H271" s="97" t="s">
        <v>5</v>
      </c>
      <c r="I271" s="52" t="s">
        <v>363</v>
      </c>
      <c r="J271" s="97"/>
      <c r="K271" s="97"/>
      <c r="L271" s="97"/>
      <c r="M271" s="97"/>
      <c r="N271" s="99"/>
      <c r="O271" s="99"/>
      <c r="P271" s="99"/>
      <c r="Q271" s="99"/>
      <c r="R271" s="11" t="s">
        <v>79</v>
      </c>
      <c r="S271" s="100" t="s">
        <v>79</v>
      </c>
      <c r="T271" s="11" t="s">
        <v>1651</v>
      </c>
      <c r="U271" s="101"/>
    </row>
    <row r="272" spans="1:21" ht="46" x14ac:dyDescent="0.35">
      <c r="A272" s="123" t="s">
        <v>1720</v>
      </c>
      <c r="B272" s="60" t="s">
        <v>35</v>
      </c>
      <c r="C272" s="94" t="s">
        <v>1457</v>
      </c>
      <c r="D272" s="95" t="s">
        <v>3</v>
      </c>
      <c r="E272" s="21" t="s">
        <v>1973</v>
      </c>
      <c r="F272" s="22" t="s">
        <v>1979</v>
      </c>
      <c r="G272" s="97" t="s">
        <v>1462</v>
      </c>
      <c r="H272" s="97" t="s">
        <v>5</v>
      </c>
      <c r="I272" s="98" t="s">
        <v>361</v>
      </c>
      <c r="J272" s="97" t="s">
        <v>1475</v>
      </c>
      <c r="K272" s="97" t="s">
        <v>1476</v>
      </c>
      <c r="L272" s="97" t="s">
        <v>1477</v>
      </c>
      <c r="M272" s="97" t="s">
        <v>1478</v>
      </c>
      <c r="N272" s="99" t="s">
        <v>94</v>
      </c>
      <c r="O272" s="99" t="s">
        <v>79</v>
      </c>
      <c r="P272" s="99" t="s">
        <v>94</v>
      </c>
      <c r="Q272" s="99" t="s">
        <v>94</v>
      </c>
      <c r="R272" s="11" t="s">
        <v>1655</v>
      </c>
      <c r="S272" s="100" t="s">
        <v>79</v>
      </c>
      <c r="T272" s="11" t="s">
        <v>326</v>
      </c>
      <c r="U272" s="101"/>
    </row>
    <row r="273" spans="1:22" ht="34.5" x14ac:dyDescent="0.35">
      <c r="A273" s="123" t="s">
        <v>1720</v>
      </c>
      <c r="B273" s="60" t="s">
        <v>35</v>
      </c>
      <c r="C273" s="94" t="s">
        <v>1457</v>
      </c>
      <c r="D273" s="95" t="s">
        <v>3</v>
      </c>
      <c r="E273" s="21" t="s">
        <v>1974</v>
      </c>
      <c r="F273" s="22" t="s">
        <v>2041</v>
      </c>
      <c r="G273" s="23" t="s">
        <v>2040</v>
      </c>
      <c r="H273" s="97" t="s">
        <v>5</v>
      </c>
      <c r="I273" s="52" t="s">
        <v>359</v>
      </c>
      <c r="J273" s="97"/>
      <c r="K273" s="97"/>
      <c r="L273" s="97"/>
      <c r="M273" s="97"/>
      <c r="N273" s="99"/>
      <c r="O273" s="99"/>
      <c r="P273" s="99"/>
      <c r="Q273" s="99"/>
      <c r="R273" s="11" t="s">
        <v>1655</v>
      </c>
      <c r="S273" s="100" t="s">
        <v>79</v>
      </c>
      <c r="T273" s="11"/>
      <c r="U273" s="101"/>
    </row>
    <row r="274" spans="1:22" ht="46" x14ac:dyDescent="0.35">
      <c r="B274" s="60" t="s">
        <v>35</v>
      </c>
      <c r="C274" s="94" t="s">
        <v>1458</v>
      </c>
      <c r="D274" s="95" t="s">
        <v>3</v>
      </c>
      <c r="E274" s="21" t="s">
        <v>1975</v>
      </c>
      <c r="F274" s="22" t="s">
        <v>1980</v>
      </c>
      <c r="G274" s="23" t="s">
        <v>2039</v>
      </c>
      <c r="H274" s="97" t="str">
        <f>"Decision 
If yes, proceed to step "&amp;E280&amp;" 
If no, proceed to "&amp;E275&amp;""</f>
        <v>Decision 
If yes, proceed to step 5.1.6 
If no, proceed to 5.1.4</v>
      </c>
      <c r="I274" s="98" t="s">
        <v>359</v>
      </c>
      <c r="J274" s="97"/>
      <c r="K274" s="97"/>
      <c r="L274" s="97"/>
      <c r="M274" s="97"/>
      <c r="N274" s="99" t="s">
        <v>94</v>
      </c>
      <c r="O274" s="99" t="s">
        <v>79</v>
      </c>
      <c r="P274" s="99" t="s">
        <v>94</v>
      </c>
      <c r="Q274" s="99" t="s">
        <v>94</v>
      </c>
      <c r="R274" s="11" t="s">
        <v>1655</v>
      </c>
      <c r="S274" s="100" t="s">
        <v>79</v>
      </c>
      <c r="T274" s="100"/>
      <c r="U274" s="101"/>
    </row>
    <row r="275" spans="1:22" ht="46" x14ac:dyDescent="0.35">
      <c r="B275" s="60" t="s">
        <v>35</v>
      </c>
      <c r="C275" s="63" t="s">
        <v>43</v>
      </c>
      <c r="D275" s="16" t="s">
        <v>2</v>
      </c>
      <c r="E275" s="17" t="s">
        <v>233</v>
      </c>
      <c r="F275" s="25" t="s">
        <v>232</v>
      </c>
      <c r="G275" s="19" t="s">
        <v>1981</v>
      </c>
      <c r="H275" s="19" t="str">
        <f>"Decision 
If yes, proceed to step "&amp;E276&amp;" 
If no, proceed to "&amp;E280&amp;""</f>
        <v>Decision 
If yes, proceed to step 5.1.5 
If no, proceed to 5.1.6</v>
      </c>
      <c r="I275" s="51" t="s">
        <v>359</v>
      </c>
      <c r="J275" s="26"/>
      <c r="K275" s="26"/>
      <c r="L275" s="26"/>
      <c r="M275" s="26"/>
      <c r="N275" s="10" t="s">
        <v>94</v>
      </c>
      <c r="O275" s="10" t="s">
        <v>227</v>
      </c>
      <c r="P275" s="10" t="s">
        <v>94</v>
      </c>
      <c r="Q275" s="10" t="s">
        <v>94</v>
      </c>
      <c r="R275" s="11" t="s">
        <v>1655</v>
      </c>
      <c r="S275" s="11" t="s">
        <v>79</v>
      </c>
      <c r="T275" s="33"/>
      <c r="U275" s="81"/>
    </row>
    <row r="276" spans="1:22" ht="34.5" x14ac:dyDescent="0.35">
      <c r="B276" s="60" t="s">
        <v>35</v>
      </c>
      <c r="C276" s="63" t="s">
        <v>1483</v>
      </c>
      <c r="D276" s="16" t="s">
        <v>2</v>
      </c>
      <c r="E276" s="17" t="s">
        <v>235</v>
      </c>
      <c r="F276" s="25" t="s">
        <v>234</v>
      </c>
      <c r="G276" s="19" t="s">
        <v>1982</v>
      </c>
      <c r="H276" s="19" t="s">
        <v>5</v>
      </c>
      <c r="I276" s="51" t="s">
        <v>363</v>
      </c>
      <c r="J276" s="26"/>
      <c r="K276" s="26"/>
      <c r="L276" s="26"/>
      <c r="M276" s="26"/>
      <c r="N276" s="10" t="s">
        <v>94</v>
      </c>
      <c r="O276" s="10" t="s">
        <v>227</v>
      </c>
      <c r="P276" s="10" t="s">
        <v>94</v>
      </c>
      <c r="Q276" s="10" t="s">
        <v>984</v>
      </c>
      <c r="R276" s="33" t="s">
        <v>79</v>
      </c>
      <c r="S276" s="11" t="s">
        <v>1651</v>
      </c>
      <c r="T276" s="33"/>
      <c r="U276" s="81"/>
    </row>
    <row r="277" spans="1:22" ht="57.5" x14ac:dyDescent="0.35">
      <c r="B277" s="60"/>
      <c r="C277" s="94" t="s">
        <v>1483</v>
      </c>
      <c r="D277" s="95" t="s">
        <v>3</v>
      </c>
      <c r="E277" s="21" t="s">
        <v>1489</v>
      </c>
      <c r="F277" s="86" t="s">
        <v>1480</v>
      </c>
      <c r="G277" s="23" t="s">
        <v>1983</v>
      </c>
      <c r="H277" s="97" t="s">
        <v>5</v>
      </c>
      <c r="I277" s="98" t="s">
        <v>363</v>
      </c>
      <c r="J277" s="97" t="s">
        <v>1484</v>
      </c>
      <c r="K277" s="97" t="s">
        <v>1485</v>
      </c>
      <c r="L277" s="97" t="s">
        <v>1486</v>
      </c>
      <c r="M277" s="97" t="s">
        <v>1487</v>
      </c>
      <c r="N277" s="99" t="s">
        <v>94</v>
      </c>
      <c r="O277" s="99" t="s">
        <v>79</v>
      </c>
      <c r="P277" s="99" t="s">
        <v>94</v>
      </c>
      <c r="Q277" s="99" t="s">
        <v>94</v>
      </c>
      <c r="R277" s="100" t="s">
        <v>79</v>
      </c>
      <c r="S277" s="11" t="s">
        <v>1651</v>
      </c>
      <c r="T277" s="11" t="s">
        <v>326</v>
      </c>
      <c r="U277" s="101"/>
    </row>
    <row r="278" spans="1:22" ht="72.5" x14ac:dyDescent="0.35">
      <c r="B278" s="60"/>
      <c r="C278" s="94" t="s">
        <v>1483</v>
      </c>
      <c r="D278" s="95" t="s">
        <v>3</v>
      </c>
      <c r="E278" s="21" t="s">
        <v>1490</v>
      </c>
      <c r="F278" s="86" t="s">
        <v>1481</v>
      </c>
      <c r="G278" s="23" t="s">
        <v>1984</v>
      </c>
      <c r="H278" s="23" t="s">
        <v>5</v>
      </c>
      <c r="I278" s="98" t="s">
        <v>363</v>
      </c>
      <c r="J278" s="97"/>
      <c r="K278" s="97"/>
      <c r="L278" s="97"/>
      <c r="M278" s="97"/>
      <c r="N278" s="99" t="s">
        <v>94</v>
      </c>
      <c r="O278" s="99" t="s">
        <v>1488</v>
      </c>
      <c r="P278" s="99" t="s">
        <v>94</v>
      </c>
      <c r="Q278" s="99" t="s">
        <v>338</v>
      </c>
      <c r="R278" s="100" t="s">
        <v>79</v>
      </c>
      <c r="S278" s="11" t="s">
        <v>1651</v>
      </c>
      <c r="T278" s="100"/>
      <c r="U278" s="101"/>
      <c r="V278" s="112" t="s">
        <v>1670</v>
      </c>
    </row>
    <row r="279" spans="1:22" ht="34.5" x14ac:dyDescent="0.35">
      <c r="B279" s="60" t="s">
        <v>35</v>
      </c>
      <c r="C279" s="94" t="s">
        <v>1483</v>
      </c>
      <c r="D279" s="95" t="s">
        <v>3</v>
      </c>
      <c r="E279" s="21" t="s">
        <v>1491</v>
      </c>
      <c r="F279" s="86" t="s">
        <v>1482</v>
      </c>
      <c r="G279" s="23" t="s">
        <v>1985</v>
      </c>
      <c r="H279" s="97" t="s">
        <v>5</v>
      </c>
      <c r="I279" s="98" t="s">
        <v>361</v>
      </c>
      <c r="J279" s="97"/>
      <c r="K279" s="97"/>
      <c r="L279" s="97"/>
      <c r="M279" s="97"/>
      <c r="N279" s="99" t="s">
        <v>94</v>
      </c>
      <c r="O279" s="99" t="s">
        <v>79</v>
      </c>
      <c r="P279" s="99" t="s">
        <v>94</v>
      </c>
      <c r="Q279" s="99" t="s">
        <v>94</v>
      </c>
      <c r="R279" s="100" t="s">
        <v>79</v>
      </c>
      <c r="S279" s="11" t="s">
        <v>1651</v>
      </c>
      <c r="T279" s="100"/>
      <c r="U279" s="101"/>
    </row>
    <row r="280" spans="1:22" ht="103.5" x14ac:dyDescent="0.35">
      <c r="B280" s="60" t="s">
        <v>35</v>
      </c>
      <c r="C280" s="63" t="s">
        <v>1590</v>
      </c>
      <c r="D280" s="16" t="s">
        <v>2</v>
      </c>
      <c r="E280" s="17" t="s">
        <v>236</v>
      </c>
      <c r="F280" s="18" t="s">
        <v>1986</v>
      </c>
      <c r="G280" s="19" t="s">
        <v>1987</v>
      </c>
      <c r="H280" s="19" t="s">
        <v>5</v>
      </c>
      <c r="I280" s="51" t="s">
        <v>361</v>
      </c>
      <c r="J280" s="19" t="s">
        <v>783</v>
      </c>
      <c r="K280" s="19" t="s">
        <v>782</v>
      </c>
      <c r="L280" s="19" t="s">
        <v>784</v>
      </c>
      <c r="M280" s="19" t="s">
        <v>785</v>
      </c>
      <c r="N280" s="10" t="s">
        <v>94</v>
      </c>
      <c r="O280" s="10" t="s">
        <v>227</v>
      </c>
      <c r="P280" s="10" t="s">
        <v>94</v>
      </c>
      <c r="Q280" s="10" t="s">
        <v>984</v>
      </c>
      <c r="R280" s="11" t="s">
        <v>1655</v>
      </c>
      <c r="S280" s="11" t="s">
        <v>79</v>
      </c>
      <c r="T280" s="11" t="s">
        <v>1651</v>
      </c>
      <c r="U280" s="81"/>
    </row>
    <row r="281" spans="1:22" ht="80.5" x14ac:dyDescent="0.35">
      <c r="B281" s="60" t="s">
        <v>35</v>
      </c>
      <c r="C281" s="63" t="s">
        <v>1590</v>
      </c>
      <c r="D281" s="95" t="s">
        <v>3</v>
      </c>
      <c r="E281" s="21" t="s">
        <v>1503</v>
      </c>
      <c r="F281" s="86" t="s">
        <v>1492</v>
      </c>
      <c r="G281" s="23" t="s">
        <v>2100</v>
      </c>
      <c r="H281" s="97" t="s">
        <v>5</v>
      </c>
      <c r="I281" s="98" t="s">
        <v>359</v>
      </c>
      <c r="J281" s="97" t="s">
        <v>1494</v>
      </c>
      <c r="K281" s="97" t="s">
        <v>1495</v>
      </c>
      <c r="L281" s="97" t="s">
        <v>1496</v>
      </c>
      <c r="M281" s="97" t="s">
        <v>1497</v>
      </c>
      <c r="N281" s="99" t="s">
        <v>94</v>
      </c>
      <c r="O281" s="99" t="s">
        <v>79</v>
      </c>
      <c r="P281" s="99" t="s">
        <v>94</v>
      </c>
      <c r="Q281" s="99" t="s">
        <v>94</v>
      </c>
      <c r="R281" s="11" t="s">
        <v>1655</v>
      </c>
      <c r="S281" s="100" t="s">
        <v>79</v>
      </c>
      <c r="T281" s="100"/>
      <c r="U281" s="101"/>
    </row>
    <row r="282" spans="1:22" ht="46" x14ac:dyDescent="0.35">
      <c r="A282" s="123" t="s">
        <v>1755</v>
      </c>
      <c r="B282" s="60" t="s">
        <v>35</v>
      </c>
      <c r="C282" s="63" t="s">
        <v>1590</v>
      </c>
      <c r="D282" s="95" t="s">
        <v>3</v>
      </c>
      <c r="E282" s="21" t="s">
        <v>1504</v>
      </c>
      <c r="F282" s="22" t="s">
        <v>1988</v>
      </c>
      <c r="G282" s="23" t="s">
        <v>1989</v>
      </c>
      <c r="H282" s="97" t="s">
        <v>5</v>
      </c>
      <c r="I282" s="98" t="s">
        <v>359</v>
      </c>
      <c r="J282" s="97" t="s">
        <v>1498</v>
      </c>
      <c r="K282" s="97" t="s">
        <v>1499</v>
      </c>
      <c r="L282" s="97" t="s">
        <v>1500</v>
      </c>
      <c r="M282" s="97" t="s">
        <v>1501</v>
      </c>
      <c r="N282" s="99" t="s">
        <v>94</v>
      </c>
      <c r="O282" s="99" t="s">
        <v>79</v>
      </c>
      <c r="P282" s="99" t="s">
        <v>94</v>
      </c>
      <c r="Q282" s="99" t="s">
        <v>94</v>
      </c>
      <c r="R282" s="11" t="s">
        <v>1655</v>
      </c>
      <c r="S282" s="100" t="s">
        <v>79</v>
      </c>
      <c r="T282" s="100"/>
      <c r="U282" s="101"/>
    </row>
    <row r="283" spans="1:22" ht="46" x14ac:dyDescent="0.35">
      <c r="A283" s="123" t="s">
        <v>1720</v>
      </c>
      <c r="B283" s="60" t="s">
        <v>35</v>
      </c>
      <c r="C283" s="63" t="s">
        <v>1590</v>
      </c>
      <c r="D283" s="95" t="s">
        <v>3</v>
      </c>
      <c r="E283" s="21" t="s">
        <v>1505</v>
      </c>
      <c r="F283" s="22" t="s">
        <v>1990</v>
      </c>
      <c r="G283" s="23" t="s">
        <v>2042</v>
      </c>
      <c r="H283" s="97" t="s">
        <v>5</v>
      </c>
      <c r="I283" s="98" t="s">
        <v>359</v>
      </c>
      <c r="J283" s="97"/>
      <c r="K283" s="97"/>
      <c r="L283" s="97"/>
      <c r="M283" s="97"/>
      <c r="N283" s="99" t="s">
        <v>94</v>
      </c>
      <c r="O283" s="99" t="s">
        <v>79</v>
      </c>
      <c r="P283" s="99" t="s">
        <v>94</v>
      </c>
      <c r="Q283" s="99" t="s">
        <v>94</v>
      </c>
      <c r="R283" s="11" t="s">
        <v>1655</v>
      </c>
      <c r="S283" s="100" t="s">
        <v>79</v>
      </c>
      <c r="T283" s="100"/>
      <c r="U283" s="101"/>
    </row>
    <row r="284" spans="1:22" ht="34.5" x14ac:dyDescent="0.35">
      <c r="A284" s="123" t="s">
        <v>1720</v>
      </c>
      <c r="B284" s="60" t="s">
        <v>35</v>
      </c>
      <c r="C284" s="63" t="s">
        <v>1590</v>
      </c>
      <c r="D284" s="95" t="s">
        <v>3</v>
      </c>
      <c r="E284" s="21" t="s">
        <v>1939</v>
      </c>
      <c r="F284" s="22" t="s">
        <v>1992</v>
      </c>
      <c r="G284" s="23" t="s">
        <v>1991</v>
      </c>
      <c r="H284" s="97" t="s">
        <v>5</v>
      </c>
      <c r="I284" s="98" t="s">
        <v>359</v>
      </c>
      <c r="J284" s="97"/>
      <c r="K284" s="97"/>
      <c r="L284" s="97"/>
      <c r="M284" s="97"/>
      <c r="N284" s="99" t="s">
        <v>94</v>
      </c>
      <c r="O284" s="99" t="s">
        <v>79</v>
      </c>
      <c r="P284" s="99" t="s">
        <v>94</v>
      </c>
      <c r="Q284" s="99" t="s">
        <v>94</v>
      </c>
      <c r="R284" s="11" t="s">
        <v>1655</v>
      </c>
      <c r="S284" s="100" t="s">
        <v>79</v>
      </c>
      <c r="T284" s="100"/>
      <c r="U284" s="101"/>
    </row>
    <row r="285" spans="1:22" ht="34.5" x14ac:dyDescent="0.35">
      <c r="A285" s="123" t="s">
        <v>1720</v>
      </c>
      <c r="B285" s="60" t="s">
        <v>35</v>
      </c>
      <c r="C285" s="63" t="s">
        <v>1590</v>
      </c>
      <c r="D285" s="95" t="s">
        <v>3</v>
      </c>
      <c r="E285" s="21" t="s">
        <v>1940</v>
      </c>
      <c r="F285" s="22" t="s">
        <v>1993</v>
      </c>
      <c r="G285" s="23" t="s">
        <v>2043</v>
      </c>
      <c r="H285" s="97" t="s">
        <v>5</v>
      </c>
      <c r="I285" s="98" t="s">
        <v>359</v>
      </c>
      <c r="J285" s="97"/>
      <c r="K285" s="97"/>
      <c r="L285" s="97"/>
      <c r="M285" s="97"/>
      <c r="N285" s="99" t="s">
        <v>94</v>
      </c>
      <c r="O285" s="99" t="s">
        <v>79</v>
      </c>
      <c r="P285" s="99" t="s">
        <v>94</v>
      </c>
      <c r="Q285" s="99" t="s">
        <v>94</v>
      </c>
      <c r="R285" s="11" t="s">
        <v>1655</v>
      </c>
      <c r="S285" s="100" t="s">
        <v>79</v>
      </c>
      <c r="T285" s="100"/>
      <c r="U285" s="101"/>
    </row>
    <row r="286" spans="1:22" ht="34.5" x14ac:dyDescent="0.35">
      <c r="A286" s="123" t="s">
        <v>1720</v>
      </c>
      <c r="B286" s="60" t="s">
        <v>35</v>
      </c>
      <c r="C286" s="63" t="s">
        <v>1590</v>
      </c>
      <c r="D286" s="95" t="s">
        <v>3</v>
      </c>
      <c r="E286" s="21" t="s">
        <v>1941</v>
      </c>
      <c r="F286" s="22" t="s">
        <v>2044</v>
      </c>
      <c r="G286" s="23" t="s">
        <v>2045</v>
      </c>
      <c r="H286" s="97" t="s">
        <v>5</v>
      </c>
      <c r="I286" s="52" t="s">
        <v>361</v>
      </c>
      <c r="J286" s="97"/>
      <c r="K286" s="97"/>
      <c r="L286" s="97"/>
      <c r="M286" s="97"/>
      <c r="N286" s="99"/>
      <c r="O286" s="99"/>
      <c r="P286" s="99"/>
      <c r="Q286" s="99"/>
      <c r="R286" s="11" t="s">
        <v>1655</v>
      </c>
      <c r="S286" s="100" t="s">
        <v>79</v>
      </c>
      <c r="T286" s="11" t="s">
        <v>1651</v>
      </c>
      <c r="U286" s="101"/>
    </row>
    <row r="287" spans="1:22" ht="34.5" x14ac:dyDescent="0.35">
      <c r="A287" s="123" t="s">
        <v>1720</v>
      </c>
      <c r="B287" s="60" t="s">
        <v>35</v>
      </c>
      <c r="C287" s="63" t="s">
        <v>1590</v>
      </c>
      <c r="D287" s="95" t="s">
        <v>3</v>
      </c>
      <c r="E287" s="21" t="s">
        <v>1942</v>
      </c>
      <c r="F287" s="22" t="s">
        <v>2046</v>
      </c>
      <c r="G287" s="23" t="s">
        <v>2047</v>
      </c>
      <c r="H287" s="97" t="s">
        <v>5</v>
      </c>
      <c r="I287" s="98" t="s">
        <v>359</v>
      </c>
      <c r="J287" s="97"/>
      <c r="K287" s="97"/>
      <c r="L287" s="97"/>
      <c r="M287" s="97"/>
      <c r="N287" s="99" t="s">
        <v>94</v>
      </c>
      <c r="O287" s="99" t="s">
        <v>79</v>
      </c>
      <c r="P287" s="99" t="s">
        <v>94</v>
      </c>
      <c r="Q287" s="99" t="s">
        <v>94</v>
      </c>
      <c r="R287" s="11" t="s">
        <v>1655</v>
      </c>
      <c r="S287" s="100" t="s">
        <v>79</v>
      </c>
      <c r="T287" s="100"/>
      <c r="U287" s="101"/>
    </row>
    <row r="288" spans="1:22" ht="80.5" x14ac:dyDescent="0.35">
      <c r="A288" s="123" t="s">
        <v>1720</v>
      </c>
      <c r="B288" s="60" t="s">
        <v>35</v>
      </c>
      <c r="C288" s="63" t="s">
        <v>1590</v>
      </c>
      <c r="D288" s="95" t="s">
        <v>3</v>
      </c>
      <c r="E288" s="21" t="s">
        <v>1943</v>
      </c>
      <c r="F288" s="22" t="s">
        <v>1994</v>
      </c>
      <c r="G288" s="23" t="s">
        <v>2048</v>
      </c>
      <c r="H288" s="97" t="s">
        <v>5</v>
      </c>
      <c r="I288" s="98" t="s">
        <v>359</v>
      </c>
      <c r="J288" s="97"/>
      <c r="K288" s="97"/>
      <c r="L288" s="97"/>
      <c r="M288" s="97"/>
      <c r="N288" s="99" t="s">
        <v>94</v>
      </c>
      <c r="O288" s="99" t="s">
        <v>79</v>
      </c>
      <c r="P288" s="99" t="s">
        <v>94</v>
      </c>
      <c r="Q288" s="99" t="s">
        <v>94</v>
      </c>
      <c r="R288" s="11" t="s">
        <v>1655</v>
      </c>
      <c r="S288" s="100" t="s">
        <v>79</v>
      </c>
      <c r="T288" s="100"/>
      <c r="U288" s="101"/>
    </row>
    <row r="289" spans="1:24" ht="92" x14ac:dyDescent="0.35">
      <c r="A289" s="123" t="s">
        <v>1755</v>
      </c>
      <c r="B289" s="60" t="s">
        <v>35</v>
      </c>
      <c r="C289" s="94" t="s">
        <v>1493</v>
      </c>
      <c r="D289" s="95" t="s">
        <v>3</v>
      </c>
      <c r="E289" s="21" t="s">
        <v>1944</v>
      </c>
      <c r="F289" s="22" t="s">
        <v>1995</v>
      </c>
      <c r="G289" s="23" t="s">
        <v>2050</v>
      </c>
      <c r="H289" s="97" t="s">
        <v>5</v>
      </c>
      <c r="I289" s="98" t="s">
        <v>363</v>
      </c>
      <c r="J289" s="97" t="s">
        <v>1516</v>
      </c>
      <c r="K289" s="97" t="s">
        <v>1517</v>
      </c>
      <c r="L289" s="97" t="s">
        <v>1518</v>
      </c>
      <c r="M289" s="97" t="s">
        <v>1519</v>
      </c>
      <c r="N289" s="99" t="s">
        <v>94</v>
      </c>
      <c r="O289" s="99" t="s">
        <v>79</v>
      </c>
      <c r="P289" s="99" t="s">
        <v>94</v>
      </c>
      <c r="Q289" s="99" t="s">
        <v>137</v>
      </c>
      <c r="R289" s="11" t="s">
        <v>1651</v>
      </c>
      <c r="S289" s="100" t="s">
        <v>79</v>
      </c>
      <c r="T289" s="11" t="s">
        <v>326</v>
      </c>
      <c r="U289" s="101"/>
      <c r="V289" s="112" t="s">
        <v>1671</v>
      </c>
    </row>
    <row r="290" spans="1:24" ht="57.5" x14ac:dyDescent="0.35">
      <c r="B290" s="60" t="s">
        <v>35</v>
      </c>
      <c r="C290" s="94" t="s">
        <v>1493</v>
      </c>
      <c r="D290" s="95" t="s">
        <v>3</v>
      </c>
      <c r="E290" s="21" t="s">
        <v>1945</v>
      </c>
      <c r="F290" s="22" t="s">
        <v>1996</v>
      </c>
      <c r="G290" s="23" t="s">
        <v>1997</v>
      </c>
      <c r="H290" s="97" t="s">
        <v>5</v>
      </c>
      <c r="I290" s="98" t="s">
        <v>363</v>
      </c>
      <c r="J290" s="97"/>
      <c r="K290" s="23" t="s">
        <v>1619</v>
      </c>
      <c r="L290" s="97"/>
      <c r="M290" s="97"/>
      <c r="N290" s="99" t="s">
        <v>94</v>
      </c>
      <c r="O290" s="99" t="s">
        <v>79</v>
      </c>
      <c r="P290" s="99" t="s">
        <v>94</v>
      </c>
      <c r="Q290" s="99" t="s">
        <v>137</v>
      </c>
      <c r="R290" s="11" t="s">
        <v>1651</v>
      </c>
      <c r="S290" s="100" t="s">
        <v>79</v>
      </c>
      <c r="T290" s="11" t="s">
        <v>326</v>
      </c>
      <c r="U290" s="101"/>
    </row>
    <row r="291" spans="1:24" ht="34.5" x14ac:dyDescent="0.35">
      <c r="B291" s="60" t="s">
        <v>35</v>
      </c>
      <c r="C291" s="94" t="s">
        <v>1493</v>
      </c>
      <c r="D291" s="95" t="s">
        <v>3</v>
      </c>
      <c r="E291" s="21" t="s">
        <v>2049</v>
      </c>
      <c r="F291" s="86" t="s">
        <v>1502</v>
      </c>
      <c r="G291" s="23" t="s">
        <v>1998</v>
      </c>
      <c r="H291" s="97" t="s">
        <v>5</v>
      </c>
      <c r="I291" s="98" t="s">
        <v>363</v>
      </c>
      <c r="J291" s="97"/>
      <c r="K291" s="97"/>
      <c r="L291" s="97"/>
      <c r="M291" s="97"/>
      <c r="N291" s="99" t="s">
        <v>94</v>
      </c>
      <c r="O291" s="99" t="s">
        <v>79</v>
      </c>
      <c r="P291" s="99" t="s">
        <v>94</v>
      </c>
      <c r="Q291" s="99" t="s">
        <v>94</v>
      </c>
      <c r="R291" s="11" t="s">
        <v>1651</v>
      </c>
      <c r="S291" s="100" t="s">
        <v>79</v>
      </c>
      <c r="T291" s="11" t="s">
        <v>326</v>
      </c>
      <c r="U291" s="101"/>
    </row>
    <row r="292" spans="1:24" ht="69" x14ac:dyDescent="0.35">
      <c r="B292" s="60" t="s">
        <v>35</v>
      </c>
      <c r="C292" s="63" t="s">
        <v>1493</v>
      </c>
      <c r="D292" s="16" t="s">
        <v>2</v>
      </c>
      <c r="E292" s="17" t="s">
        <v>238</v>
      </c>
      <c r="F292" s="25" t="s">
        <v>237</v>
      </c>
      <c r="G292" s="19" t="s">
        <v>1999</v>
      </c>
      <c r="H292" s="19" t="s">
        <v>5</v>
      </c>
      <c r="I292" s="51"/>
      <c r="J292" s="19" t="s">
        <v>787</v>
      </c>
      <c r="K292" s="19" t="s">
        <v>786</v>
      </c>
      <c r="L292" s="19" t="s">
        <v>788</v>
      </c>
      <c r="M292" s="19" t="s">
        <v>789</v>
      </c>
      <c r="N292" s="10" t="s">
        <v>94</v>
      </c>
      <c r="O292" s="10" t="s">
        <v>227</v>
      </c>
      <c r="P292" s="10" t="s">
        <v>94</v>
      </c>
      <c r="Q292" s="10" t="s">
        <v>137</v>
      </c>
      <c r="R292" s="11" t="s">
        <v>1655</v>
      </c>
      <c r="S292" s="11" t="s">
        <v>79</v>
      </c>
      <c r="T292" s="11" t="s">
        <v>326</v>
      </c>
      <c r="U292" s="81"/>
    </row>
    <row r="293" spans="1:24" ht="57.5" x14ac:dyDescent="0.35">
      <c r="A293" s="123" t="s">
        <v>1720</v>
      </c>
      <c r="B293" s="60" t="s">
        <v>35</v>
      </c>
      <c r="C293" s="63" t="s">
        <v>1493</v>
      </c>
      <c r="D293" s="95" t="s">
        <v>3</v>
      </c>
      <c r="E293" s="21" t="s">
        <v>1524</v>
      </c>
      <c r="F293" s="22" t="s">
        <v>2000</v>
      </c>
      <c r="G293" s="23" t="s">
        <v>2051</v>
      </c>
      <c r="H293" s="97" t="s">
        <v>5</v>
      </c>
      <c r="I293" s="52" t="s">
        <v>361</v>
      </c>
      <c r="J293" s="97"/>
      <c r="K293" s="97"/>
      <c r="L293" s="97"/>
      <c r="M293" s="97"/>
      <c r="N293" s="99"/>
      <c r="O293" s="99"/>
      <c r="P293" s="99"/>
      <c r="Q293" s="99"/>
      <c r="R293" s="11" t="s">
        <v>1655</v>
      </c>
      <c r="S293" s="100" t="s">
        <v>79</v>
      </c>
      <c r="T293" s="100"/>
      <c r="U293" s="101"/>
    </row>
    <row r="294" spans="1:24" ht="57.5" x14ac:dyDescent="0.35">
      <c r="A294" s="123" t="s">
        <v>1720</v>
      </c>
      <c r="B294" s="60" t="s">
        <v>35</v>
      </c>
      <c r="C294" s="63" t="s">
        <v>1493</v>
      </c>
      <c r="D294" s="95" t="s">
        <v>3</v>
      </c>
      <c r="E294" s="21" t="s">
        <v>1525</v>
      </c>
      <c r="F294" s="22" t="s">
        <v>2089</v>
      </c>
      <c r="G294" s="23" t="s">
        <v>2090</v>
      </c>
      <c r="H294" s="97" t="str">
        <f>"Decision 
If yes, proceed to step "&amp;E327&amp;" 
If no, proceed to "&amp;E295&amp;""</f>
        <v>Decision 
If yes, proceed to step 5.3.3.3 
If no, proceed to 5.1.7.3</v>
      </c>
      <c r="I294" s="52" t="s">
        <v>361</v>
      </c>
      <c r="J294" s="97"/>
      <c r="K294" s="97"/>
      <c r="L294" s="97"/>
      <c r="M294" s="97"/>
      <c r="N294" s="99"/>
      <c r="O294" s="99"/>
      <c r="P294" s="99"/>
      <c r="Q294" s="99"/>
      <c r="R294" s="11" t="s">
        <v>1655</v>
      </c>
      <c r="S294" s="100" t="s">
        <v>79</v>
      </c>
      <c r="T294" s="100"/>
      <c r="U294" s="101"/>
    </row>
    <row r="295" spans="1:24" ht="92" x14ac:dyDescent="0.35">
      <c r="B295" s="60" t="s">
        <v>35</v>
      </c>
      <c r="C295" s="94" t="s">
        <v>1493</v>
      </c>
      <c r="D295" s="95" t="s">
        <v>3</v>
      </c>
      <c r="E295" s="21" t="s">
        <v>1526</v>
      </c>
      <c r="F295" s="86" t="s">
        <v>1506</v>
      </c>
      <c r="G295" s="23" t="s">
        <v>1618</v>
      </c>
      <c r="H295" s="97" t="s">
        <v>5</v>
      </c>
      <c r="I295" s="98" t="s">
        <v>359</v>
      </c>
      <c r="J295" s="97" t="s">
        <v>1520</v>
      </c>
      <c r="K295" s="97" t="s">
        <v>1521</v>
      </c>
      <c r="L295" s="97" t="s">
        <v>1522</v>
      </c>
      <c r="M295" s="97" t="s">
        <v>1523</v>
      </c>
      <c r="N295" s="99" t="s">
        <v>94</v>
      </c>
      <c r="O295" s="99" t="s">
        <v>79</v>
      </c>
      <c r="P295" s="99" t="s">
        <v>94</v>
      </c>
      <c r="Q295" s="99" t="s">
        <v>137</v>
      </c>
      <c r="R295" s="11" t="s">
        <v>1655</v>
      </c>
      <c r="S295" s="100" t="s">
        <v>79</v>
      </c>
      <c r="T295" s="100"/>
      <c r="U295" s="101"/>
    </row>
    <row r="296" spans="1:24" ht="46" x14ac:dyDescent="0.35">
      <c r="B296" s="60" t="s">
        <v>35</v>
      </c>
      <c r="C296" s="94" t="s">
        <v>1493</v>
      </c>
      <c r="D296" s="95" t="s">
        <v>3</v>
      </c>
      <c r="E296" s="21" t="s">
        <v>2001</v>
      </c>
      <c r="F296" s="86" t="s">
        <v>1507</v>
      </c>
      <c r="G296" s="23" t="s">
        <v>2002</v>
      </c>
      <c r="H296" s="97" t="s">
        <v>5</v>
      </c>
      <c r="I296" s="98" t="s">
        <v>359</v>
      </c>
      <c r="J296" s="97" t="s">
        <v>1512</v>
      </c>
      <c r="K296" s="97" t="s">
        <v>1513</v>
      </c>
      <c r="L296" s="97" t="s">
        <v>1514</v>
      </c>
      <c r="M296" s="97" t="s">
        <v>1515</v>
      </c>
      <c r="N296" s="99" t="s">
        <v>94</v>
      </c>
      <c r="O296" s="99" t="s">
        <v>79</v>
      </c>
      <c r="P296" s="99" t="s">
        <v>94</v>
      </c>
      <c r="Q296" s="99" t="s">
        <v>137</v>
      </c>
      <c r="R296" s="11" t="s">
        <v>1655</v>
      </c>
      <c r="S296" s="100" t="s">
        <v>79</v>
      </c>
      <c r="T296" s="100"/>
      <c r="U296" s="101"/>
    </row>
    <row r="297" spans="1:24" ht="103.5" x14ac:dyDescent="0.35">
      <c r="A297" s="123" t="s">
        <v>1720</v>
      </c>
      <c r="B297" s="60" t="s">
        <v>35</v>
      </c>
      <c r="C297" s="94" t="s">
        <v>1493</v>
      </c>
      <c r="D297" s="95" t="s">
        <v>3</v>
      </c>
      <c r="E297" s="21" t="s">
        <v>2007</v>
      </c>
      <c r="F297" s="22" t="s">
        <v>2034</v>
      </c>
      <c r="G297" s="23" t="s">
        <v>2003</v>
      </c>
      <c r="H297" s="97" t="s">
        <v>5</v>
      </c>
      <c r="I297" s="98" t="s">
        <v>359</v>
      </c>
      <c r="J297" s="97" t="s">
        <v>1508</v>
      </c>
      <c r="K297" s="97" t="s">
        <v>1509</v>
      </c>
      <c r="L297" s="97" t="s">
        <v>1510</v>
      </c>
      <c r="M297" s="97" t="s">
        <v>1511</v>
      </c>
      <c r="N297" s="99" t="s">
        <v>94</v>
      </c>
      <c r="O297" s="99" t="s">
        <v>79</v>
      </c>
      <c r="P297" s="99" t="s">
        <v>94</v>
      </c>
      <c r="Q297" s="99" t="s">
        <v>137</v>
      </c>
      <c r="R297" s="11" t="s">
        <v>1655</v>
      </c>
      <c r="S297" s="100" t="s">
        <v>79</v>
      </c>
      <c r="T297" s="100"/>
      <c r="U297" s="101"/>
    </row>
    <row r="298" spans="1:24" ht="57.5" x14ac:dyDescent="0.35">
      <c r="A298" s="123" t="s">
        <v>1720</v>
      </c>
      <c r="B298" s="60" t="s">
        <v>35</v>
      </c>
      <c r="C298" s="94" t="s">
        <v>1493</v>
      </c>
      <c r="D298" s="95" t="s">
        <v>3</v>
      </c>
      <c r="E298" s="21" t="s">
        <v>2008</v>
      </c>
      <c r="F298" s="22" t="s">
        <v>2004</v>
      </c>
      <c r="G298" s="23" t="s">
        <v>2005</v>
      </c>
      <c r="H298" s="97" t="str">
        <f>"Decision 
If yes, proceed to step "&amp;E300&amp;" 
If no, proceed to "&amp;E299&amp;""</f>
        <v>Decision 
If yes, proceed to step 5.1.8 
If no, proceed to 5.1.7.7</v>
      </c>
      <c r="I298" s="98" t="s">
        <v>359</v>
      </c>
      <c r="J298" s="97" t="s">
        <v>1508</v>
      </c>
      <c r="K298" s="97" t="s">
        <v>1509</v>
      </c>
      <c r="L298" s="97" t="s">
        <v>1510</v>
      </c>
      <c r="M298" s="97" t="s">
        <v>1511</v>
      </c>
      <c r="N298" s="99" t="s">
        <v>94</v>
      </c>
      <c r="O298" s="99" t="s">
        <v>79</v>
      </c>
      <c r="P298" s="99" t="s">
        <v>94</v>
      </c>
      <c r="Q298" s="99" t="s">
        <v>137</v>
      </c>
      <c r="R298" s="11" t="s">
        <v>1655</v>
      </c>
      <c r="S298" s="100" t="s">
        <v>79</v>
      </c>
      <c r="T298" s="100"/>
      <c r="U298" s="101"/>
    </row>
    <row r="299" spans="1:24" ht="46" x14ac:dyDescent="0.35">
      <c r="A299" s="123" t="s">
        <v>1720</v>
      </c>
      <c r="B299" s="60" t="s">
        <v>35</v>
      </c>
      <c r="C299" s="94" t="s">
        <v>1493</v>
      </c>
      <c r="D299" s="95" t="s">
        <v>3</v>
      </c>
      <c r="E299" s="21" t="s">
        <v>2009</v>
      </c>
      <c r="F299" s="22" t="s">
        <v>2006</v>
      </c>
      <c r="G299" s="23" t="str">
        <f>"Correct invoice formatting, language, date or billing data discrepancies and regenerate invoice output. Where billing amounts or billing data are incorrect, proceed to step "&amp;E264&amp;" for correction and reprocessing"</f>
        <v>Correct invoice formatting, language, date or billing data discrepancies and regenerate invoice output. Where billing amounts or billing data are incorrect, proceed to step 5.1.3 for correction and reprocessing</v>
      </c>
      <c r="H299" s="97" t="s">
        <v>5</v>
      </c>
      <c r="I299" s="52" t="s">
        <v>363</v>
      </c>
      <c r="J299" s="97"/>
      <c r="K299" s="97"/>
      <c r="L299" s="97"/>
      <c r="M299" s="97"/>
      <c r="N299" s="99"/>
      <c r="O299" s="99"/>
      <c r="P299" s="99"/>
      <c r="Q299" s="99"/>
      <c r="R299" s="11" t="s">
        <v>79</v>
      </c>
      <c r="S299" s="100" t="s">
        <v>79</v>
      </c>
      <c r="T299" s="11" t="s">
        <v>326</v>
      </c>
      <c r="U299" s="101"/>
    </row>
    <row r="300" spans="1:24" ht="145" x14ac:dyDescent="0.35">
      <c r="A300" s="124" t="s">
        <v>2052</v>
      </c>
      <c r="B300" s="60" t="s">
        <v>35</v>
      </c>
      <c r="C300" s="63" t="s">
        <v>1493</v>
      </c>
      <c r="D300" s="16" t="s">
        <v>2</v>
      </c>
      <c r="E300" s="17" t="s">
        <v>239</v>
      </c>
      <c r="F300" s="18" t="s">
        <v>2010</v>
      </c>
      <c r="G300" s="19" t="s">
        <v>2053</v>
      </c>
      <c r="H300" s="19" t="s">
        <v>5</v>
      </c>
      <c r="I300" s="51"/>
      <c r="J300" s="26" t="s">
        <v>94</v>
      </c>
      <c r="K300" s="26" t="s">
        <v>227</v>
      </c>
      <c r="L300" s="26" t="s">
        <v>94</v>
      </c>
      <c r="M300" s="26" t="s">
        <v>975</v>
      </c>
      <c r="N300" s="10" t="s">
        <v>94</v>
      </c>
      <c r="O300" s="10" t="s">
        <v>227</v>
      </c>
      <c r="P300" s="10" t="s">
        <v>94</v>
      </c>
      <c r="Q300" s="10" t="s">
        <v>975</v>
      </c>
      <c r="R300" s="11" t="s">
        <v>326</v>
      </c>
      <c r="S300" s="11" t="s">
        <v>326</v>
      </c>
      <c r="T300" s="11"/>
      <c r="U300" s="81"/>
      <c r="V300" s="112" t="s">
        <v>1672</v>
      </c>
      <c r="X300" s="57" t="s">
        <v>1591</v>
      </c>
    </row>
    <row r="301" spans="1:24" ht="23" x14ac:dyDescent="0.35">
      <c r="B301" s="60" t="s">
        <v>35</v>
      </c>
      <c r="C301" s="94" t="s">
        <v>1493</v>
      </c>
      <c r="D301" s="95" t="s">
        <v>3</v>
      </c>
      <c r="E301" s="21" t="s">
        <v>1527</v>
      </c>
      <c r="F301" s="86" t="s">
        <v>1529</v>
      </c>
      <c r="G301" s="23" t="s">
        <v>2054</v>
      </c>
      <c r="H301" s="97" t="s">
        <v>5</v>
      </c>
      <c r="I301" s="98" t="s">
        <v>361</v>
      </c>
      <c r="J301" s="97" t="s">
        <v>94</v>
      </c>
      <c r="K301" s="97" t="s">
        <v>227</v>
      </c>
      <c r="L301" s="97" t="s">
        <v>94</v>
      </c>
      <c r="M301" s="97" t="s">
        <v>975</v>
      </c>
      <c r="N301" s="99"/>
      <c r="O301" s="99"/>
      <c r="P301" s="99"/>
      <c r="Q301" s="99"/>
      <c r="R301" s="11" t="s">
        <v>1655</v>
      </c>
      <c r="S301" s="100" t="s">
        <v>79</v>
      </c>
      <c r="T301" s="100"/>
      <c r="U301" s="101"/>
    </row>
    <row r="302" spans="1:24" ht="34.5" x14ac:dyDescent="0.35">
      <c r="B302" s="60" t="s">
        <v>35</v>
      </c>
      <c r="C302" s="94" t="s">
        <v>1493</v>
      </c>
      <c r="D302" s="95" t="s">
        <v>3</v>
      </c>
      <c r="E302" s="21" t="s">
        <v>1528</v>
      </c>
      <c r="F302" s="22" t="s">
        <v>2012</v>
      </c>
      <c r="G302" s="23" t="s">
        <v>2013</v>
      </c>
      <c r="H302" s="97" t="s">
        <v>5</v>
      </c>
      <c r="I302" s="98" t="s">
        <v>363</v>
      </c>
      <c r="J302" s="97"/>
      <c r="K302" s="97"/>
      <c r="L302" s="97"/>
      <c r="M302" s="97"/>
      <c r="N302" s="99"/>
      <c r="O302" s="99"/>
      <c r="P302" s="99"/>
      <c r="Q302" s="99"/>
      <c r="R302" s="11" t="s">
        <v>326</v>
      </c>
      <c r="S302" s="11" t="s">
        <v>326</v>
      </c>
      <c r="T302" s="100"/>
      <c r="U302" s="101"/>
    </row>
    <row r="303" spans="1:24" ht="57.5" x14ac:dyDescent="0.35">
      <c r="B303" s="60" t="s">
        <v>35</v>
      </c>
      <c r="C303" s="94" t="s">
        <v>1483</v>
      </c>
      <c r="D303" s="95" t="s">
        <v>3</v>
      </c>
      <c r="E303" s="21" t="s">
        <v>1530</v>
      </c>
      <c r="F303" s="22" t="s">
        <v>2011</v>
      </c>
      <c r="G303" s="23" t="s">
        <v>2014</v>
      </c>
      <c r="H303" s="97" t="str">
        <f>"Decision 
If yes, proceed to step "&amp;E304&amp;" 
If no, proceed to "&amp;E281&amp;""</f>
        <v>Decision 
If yes, proceed to step 5.2 
If no, proceed to 5.1.6.1</v>
      </c>
      <c r="I303" s="98" t="s">
        <v>363</v>
      </c>
      <c r="J303" s="97" t="s">
        <v>94</v>
      </c>
      <c r="K303" s="97" t="s">
        <v>227</v>
      </c>
      <c r="L303" s="97" t="s">
        <v>94</v>
      </c>
      <c r="M303" s="97" t="s">
        <v>975</v>
      </c>
      <c r="N303" s="99"/>
      <c r="O303" s="99"/>
      <c r="P303" s="99"/>
      <c r="Q303" s="99"/>
      <c r="R303" s="11" t="s">
        <v>326</v>
      </c>
      <c r="S303" s="11" t="s">
        <v>326</v>
      </c>
      <c r="T303" s="100"/>
      <c r="U303" s="101"/>
    </row>
    <row r="304" spans="1:24" ht="87" x14ac:dyDescent="0.35">
      <c r="A304" s="124" t="s">
        <v>2055</v>
      </c>
      <c r="B304" s="60"/>
      <c r="C304" s="63" t="s">
        <v>244</v>
      </c>
      <c r="D304" s="12" t="s">
        <v>1</v>
      </c>
      <c r="E304" s="13" t="s">
        <v>240</v>
      </c>
      <c r="F304" s="14" t="s">
        <v>241</v>
      </c>
      <c r="G304" s="35" t="s">
        <v>242</v>
      </c>
      <c r="H304" s="15" t="s">
        <v>5</v>
      </c>
      <c r="I304" s="102" t="s">
        <v>361</v>
      </c>
      <c r="J304" s="15" t="s">
        <v>791</v>
      </c>
      <c r="K304" s="15" t="s">
        <v>790</v>
      </c>
      <c r="L304" s="15" t="s">
        <v>792</v>
      </c>
      <c r="M304" s="15" t="s">
        <v>793</v>
      </c>
      <c r="N304" s="10" t="s">
        <v>29</v>
      </c>
      <c r="O304" s="10" t="s">
        <v>29</v>
      </c>
      <c r="P304" s="10" t="s">
        <v>29</v>
      </c>
      <c r="Q304" s="10" t="s">
        <v>29</v>
      </c>
      <c r="R304" s="33" t="s">
        <v>1488</v>
      </c>
      <c r="S304" s="33" t="s">
        <v>79</v>
      </c>
      <c r="T304" s="11"/>
      <c r="U304" s="81"/>
      <c r="V304" s="118" t="s">
        <v>1667</v>
      </c>
    </row>
    <row r="305" spans="1:22" ht="34.5" x14ac:dyDescent="0.35">
      <c r="B305" s="60"/>
      <c r="C305" s="63" t="s">
        <v>244</v>
      </c>
      <c r="D305" s="16" t="s">
        <v>2</v>
      </c>
      <c r="E305" s="17" t="s">
        <v>245</v>
      </c>
      <c r="F305" s="18" t="s">
        <v>2056</v>
      </c>
      <c r="G305" s="19" t="s">
        <v>2057</v>
      </c>
      <c r="H305" s="19" t="s">
        <v>5</v>
      </c>
      <c r="I305" s="51" t="s">
        <v>361</v>
      </c>
      <c r="J305" s="26"/>
      <c r="K305" s="26"/>
      <c r="L305" s="26"/>
      <c r="M305" s="26"/>
      <c r="N305" s="10" t="s">
        <v>29</v>
      </c>
      <c r="O305" s="10" t="s">
        <v>29</v>
      </c>
      <c r="P305" s="10" t="s">
        <v>29</v>
      </c>
      <c r="Q305" s="10" t="s">
        <v>29</v>
      </c>
      <c r="R305" s="11" t="s">
        <v>1488</v>
      </c>
      <c r="S305" s="100" t="s">
        <v>79</v>
      </c>
      <c r="T305" s="11"/>
      <c r="U305" s="81"/>
    </row>
    <row r="306" spans="1:22" ht="69" x14ac:dyDescent="0.35">
      <c r="B306" s="60"/>
      <c r="C306" s="94" t="s">
        <v>244</v>
      </c>
      <c r="D306" s="95" t="s">
        <v>3</v>
      </c>
      <c r="E306" s="96" t="s">
        <v>1531</v>
      </c>
      <c r="F306" s="86" t="s">
        <v>1532</v>
      </c>
      <c r="G306" s="23" t="s">
        <v>2058</v>
      </c>
      <c r="H306" s="97" t="s">
        <v>5</v>
      </c>
      <c r="I306" s="98" t="s">
        <v>359</v>
      </c>
      <c r="J306" s="97" t="s">
        <v>1535</v>
      </c>
      <c r="K306" s="97" t="s">
        <v>1536</v>
      </c>
      <c r="L306" s="97" t="s">
        <v>1537</v>
      </c>
      <c r="M306" s="97" t="s">
        <v>1538</v>
      </c>
      <c r="N306" s="99" t="s">
        <v>29</v>
      </c>
      <c r="O306" s="99" t="s">
        <v>29</v>
      </c>
      <c r="P306" s="99" t="s">
        <v>29</v>
      </c>
      <c r="Q306" s="99" t="s">
        <v>29</v>
      </c>
      <c r="R306" s="11" t="s">
        <v>1651</v>
      </c>
      <c r="S306" s="100" t="s">
        <v>79</v>
      </c>
      <c r="T306" s="100"/>
      <c r="U306" s="101"/>
    </row>
    <row r="307" spans="1:22" ht="46" x14ac:dyDescent="0.35">
      <c r="B307" s="60"/>
      <c r="C307" s="94" t="s">
        <v>244</v>
      </c>
      <c r="D307" s="95" t="s">
        <v>3</v>
      </c>
      <c r="E307" s="96" t="s">
        <v>1533</v>
      </c>
      <c r="F307" s="86" t="s">
        <v>1534</v>
      </c>
      <c r="G307" s="23" t="s">
        <v>2060</v>
      </c>
      <c r="H307" s="97" t="s">
        <v>5</v>
      </c>
      <c r="I307" s="98" t="s">
        <v>361</v>
      </c>
      <c r="J307" s="97" t="s">
        <v>1539</v>
      </c>
      <c r="K307" s="97" t="s">
        <v>1540</v>
      </c>
      <c r="L307" s="97" t="s">
        <v>1541</v>
      </c>
      <c r="M307" s="97" t="s">
        <v>1542</v>
      </c>
      <c r="N307" s="99" t="s">
        <v>29</v>
      </c>
      <c r="O307" s="99" t="s">
        <v>29</v>
      </c>
      <c r="P307" s="99" t="s">
        <v>29</v>
      </c>
      <c r="Q307" s="99" t="s">
        <v>29</v>
      </c>
      <c r="R307" s="11" t="s">
        <v>79</v>
      </c>
      <c r="S307" s="100" t="s">
        <v>79</v>
      </c>
      <c r="T307" s="11" t="s">
        <v>1651</v>
      </c>
      <c r="U307" s="101"/>
    </row>
    <row r="308" spans="1:22" ht="46" x14ac:dyDescent="0.35">
      <c r="B308" s="60"/>
      <c r="C308" s="63" t="s">
        <v>244</v>
      </c>
      <c r="D308" s="16" t="s">
        <v>2</v>
      </c>
      <c r="E308" s="17" t="s">
        <v>246</v>
      </c>
      <c r="F308" s="18" t="s">
        <v>247</v>
      </c>
      <c r="G308" s="19" t="s">
        <v>2059</v>
      </c>
      <c r="H308" s="19" t="str">
        <f>"Decision 
If yes, proceed to step "&amp;E309&amp;" 
If no, proceed to "&amp;E313&amp;""</f>
        <v>Decision 
If yes, proceed to step 5.2.3 
If no, proceed to 5.2.4</v>
      </c>
      <c r="I308" s="51" t="s">
        <v>363</v>
      </c>
      <c r="J308" s="26"/>
      <c r="K308" s="26"/>
      <c r="L308" s="26"/>
      <c r="M308" s="26"/>
      <c r="N308" s="10" t="s">
        <v>29</v>
      </c>
      <c r="O308" s="10" t="s">
        <v>29</v>
      </c>
      <c r="P308" s="10" t="s">
        <v>29</v>
      </c>
      <c r="Q308" s="10" t="s">
        <v>29</v>
      </c>
      <c r="R308" s="11" t="s">
        <v>79</v>
      </c>
      <c r="S308" s="100" t="s">
        <v>79</v>
      </c>
      <c r="T308" s="11"/>
      <c r="U308" s="81"/>
    </row>
    <row r="309" spans="1:22" ht="34.5" x14ac:dyDescent="0.35">
      <c r="B309" s="60"/>
      <c r="C309" s="63" t="s">
        <v>244</v>
      </c>
      <c r="D309" s="16" t="s">
        <v>2</v>
      </c>
      <c r="E309" s="17" t="s">
        <v>248</v>
      </c>
      <c r="F309" s="25" t="s">
        <v>249</v>
      </c>
      <c r="G309" s="26" t="s">
        <v>250</v>
      </c>
      <c r="H309" s="19" t="s">
        <v>5</v>
      </c>
      <c r="I309" s="51" t="s">
        <v>363</v>
      </c>
      <c r="J309" s="26"/>
      <c r="K309" s="26"/>
      <c r="L309" s="26"/>
      <c r="M309" s="26"/>
      <c r="N309" s="10" t="s">
        <v>29</v>
      </c>
      <c r="O309" s="10" t="s">
        <v>29</v>
      </c>
      <c r="P309" s="10" t="s">
        <v>29</v>
      </c>
      <c r="Q309" s="10" t="s">
        <v>29</v>
      </c>
      <c r="R309" s="11" t="s">
        <v>79</v>
      </c>
      <c r="S309" s="11" t="s">
        <v>79</v>
      </c>
      <c r="T309" s="11" t="s">
        <v>1651</v>
      </c>
      <c r="U309" s="81"/>
    </row>
    <row r="310" spans="1:22" ht="23" x14ac:dyDescent="0.35">
      <c r="B310" s="60"/>
      <c r="C310" s="94" t="s">
        <v>244</v>
      </c>
      <c r="D310" s="95" t="s">
        <v>3</v>
      </c>
      <c r="E310" s="96" t="s">
        <v>1543</v>
      </c>
      <c r="F310" s="86" t="s">
        <v>1544</v>
      </c>
      <c r="G310" s="23" t="s">
        <v>2061</v>
      </c>
      <c r="H310" s="97" t="s">
        <v>5</v>
      </c>
      <c r="I310" s="98" t="s">
        <v>363</v>
      </c>
      <c r="J310" s="97"/>
      <c r="K310" s="97"/>
      <c r="L310" s="97"/>
      <c r="M310" s="97"/>
      <c r="N310" s="99" t="s">
        <v>29</v>
      </c>
      <c r="O310" s="99" t="s">
        <v>29</v>
      </c>
      <c r="P310" s="99" t="s">
        <v>29</v>
      </c>
      <c r="Q310" s="99" t="s">
        <v>29</v>
      </c>
      <c r="R310" s="100" t="s">
        <v>79</v>
      </c>
      <c r="S310" s="100" t="s">
        <v>79</v>
      </c>
      <c r="T310" s="100"/>
      <c r="U310" s="101"/>
    </row>
    <row r="311" spans="1:22" ht="46" x14ac:dyDescent="0.35">
      <c r="B311" s="60"/>
      <c r="C311" s="94" t="s">
        <v>244</v>
      </c>
      <c r="D311" s="95" t="s">
        <v>3</v>
      </c>
      <c r="E311" s="96" t="s">
        <v>1545</v>
      </c>
      <c r="F311" s="22" t="s">
        <v>2062</v>
      </c>
      <c r="G311" s="23" t="s">
        <v>2065</v>
      </c>
      <c r="H311" s="97" t="s">
        <v>5</v>
      </c>
      <c r="I311" s="98" t="s">
        <v>363</v>
      </c>
      <c r="J311" s="97"/>
      <c r="K311" s="97"/>
      <c r="L311" s="97"/>
      <c r="M311" s="97"/>
      <c r="N311" s="99" t="s">
        <v>29</v>
      </c>
      <c r="O311" s="99" t="s">
        <v>29</v>
      </c>
      <c r="P311" s="99" t="s">
        <v>29</v>
      </c>
      <c r="Q311" s="99" t="s">
        <v>29</v>
      </c>
      <c r="R311" s="100" t="s">
        <v>79</v>
      </c>
      <c r="S311" s="100" t="s">
        <v>79</v>
      </c>
      <c r="T311" s="11" t="s">
        <v>1651</v>
      </c>
      <c r="U311" s="101"/>
    </row>
    <row r="312" spans="1:22" ht="23" x14ac:dyDescent="0.35">
      <c r="B312" s="60"/>
      <c r="C312" s="94" t="s">
        <v>244</v>
      </c>
      <c r="D312" s="95" t="s">
        <v>3</v>
      </c>
      <c r="E312" s="21" t="s">
        <v>1546</v>
      </c>
      <c r="F312" s="22" t="s">
        <v>2063</v>
      </c>
      <c r="G312" s="23" t="s">
        <v>2064</v>
      </c>
      <c r="H312" s="97" t="s">
        <v>5</v>
      </c>
      <c r="I312" s="98" t="s">
        <v>363</v>
      </c>
      <c r="J312" s="97"/>
      <c r="K312" s="97"/>
      <c r="L312" s="97"/>
      <c r="M312" s="97"/>
      <c r="N312" s="99" t="s">
        <v>94</v>
      </c>
      <c r="O312" s="99" t="s">
        <v>79</v>
      </c>
      <c r="P312" s="99" t="s">
        <v>94</v>
      </c>
      <c r="Q312" s="99" t="s">
        <v>94</v>
      </c>
      <c r="R312" s="100" t="s">
        <v>79</v>
      </c>
      <c r="S312" s="100" t="s">
        <v>79</v>
      </c>
      <c r="T312" s="11" t="s">
        <v>1651</v>
      </c>
      <c r="U312" s="101"/>
    </row>
    <row r="313" spans="1:22" ht="23" x14ac:dyDescent="0.35">
      <c r="B313" s="60"/>
      <c r="C313" s="63" t="s">
        <v>244</v>
      </c>
      <c r="D313" s="16" t="s">
        <v>2</v>
      </c>
      <c r="E313" s="17" t="s">
        <v>251</v>
      </c>
      <c r="F313" s="25" t="s">
        <v>252</v>
      </c>
      <c r="G313" s="19" t="s">
        <v>2066</v>
      </c>
      <c r="H313" s="19" t="s">
        <v>5</v>
      </c>
      <c r="I313" s="51" t="s">
        <v>363</v>
      </c>
      <c r="J313" s="26"/>
      <c r="K313" s="26"/>
      <c r="L313" s="26"/>
      <c r="M313" s="26"/>
      <c r="N313" s="10" t="s">
        <v>29</v>
      </c>
      <c r="O313" s="10" t="s">
        <v>29</v>
      </c>
      <c r="P313" s="10" t="s">
        <v>29</v>
      </c>
      <c r="Q313" s="10" t="s">
        <v>29</v>
      </c>
      <c r="R313" s="100" t="s">
        <v>79</v>
      </c>
      <c r="S313" s="100" t="s">
        <v>79</v>
      </c>
      <c r="T313" s="11" t="s">
        <v>1651</v>
      </c>
      <c r="U313" s="81"/>
    </row>
    <row r="314" spans="1:22" ht="34.5" x14ac:dyDescent="0.35">
      <c r="B314" s="60"/>
      <c r="C314" s="63" t="s">
        <v>2074</v>
      </c>
      <c r="D314" s="12" t="s">
        <v>1</v>
      </c>
      <c r="E314" s="13" t="s">
        <v>253</v>
      </c>
      <c r="F314" s="14" t="s">
        <v>254</v>
      </c>
      <c r="G314" s="35" t="s">
        <v>255</v>
      </c>
      <c r="H314" s="15" t="s">
        <v>5</v>
      </c>
      <c r="I314" s="50" t="s">
        <v>361</v>
      </c>
      <c r="J314" s="35"/>
      <c r="K314" s="35"/>
      <c r="L314" s="35"/>
      <c r="M314" s="35"/>
      <c r="N314" s="10" t="s">
        <v>94</v>
      </c>
      <c r="O314" s="10" t="s">
        <v>227</v>
      </c>
      <c r="P314" s="10" t="s">
        <v>94</v>
      </c>
      <c r="Q314" s="10" t="s">
        <v>28</v>
      </c>
      <c r="R314" s="11" t="s">
        <v>79</v>
      </c>
      <c r="S314" s="11" t="s">
        <v>79</v>
      </c>
      <c r="T314" s="11"/>
      <c r="U314" s="81"/>
    </row>
    <row r="315" spans="1:22" ht="23" x14ac:dyDescent="0.35">
      <c r="B315" s="60"/>
      <c r="C315" s="63" t="s">
        <v>1493</v>
      </c>
      <c r="D315" s="16" t="s">
        <v>2</v>
      </c>
      <c r="E315" s="17" t="s">
        <v>256</v>
      </c>
      <c r="F315" s="18" t="s">
        <v>257</v>
      </c>
      <c r="G315" s="19" t="s">
        <v>2070</v>
      </c>
      <c r="H315" s="19" t="s">
        <v>5</v>
      </c>
      <c r="I315" s="51" t="s">
        <v>359</v>
      </c>
      <c r="J315" s="19"/>
      <c r="K315" s="19"/>
      <c r="L315" s="19"/>
      <c r="M315" s="19"/>
      <c r="N315" s="10"/>
      <c r="O315" s="10"/>
      <c r="P315" s="10"/>
      <c r="Q315" s="10"/>
      <c r="R315" s="11" t="s">
        <v>79</v>
      </c>
      <c r="S315" s="11" t="s">
        <v>79</v>
      </c>
      <c r="T315" s="11"/>
      <c r="U315" s="81"/>
    </row>
    <row r="316" spans="1:22" ht="34.5" x14ac:dyDescent="0.35">
      <c r="A316" s="124" t="s">
        <v>2076</v>
      </c>
      <c r="B316" s="60"/>
      <c r="C316" s="63" t="s">
        <v>1493</v>
      </c>
      <c r="D316" s="95" t="s">
        <v>3</v>
      </c>
      <c r="E316" s="21" t="s">
        <v>1547</v>
      </c>
      <c r="F316" s="22" t="s">
        <v>2071</v>
      </c>
      <c r="G316" s="23" t="s">
        <v>2075</v>
      </c>
      <c r="H316" s="23" t="s">
        <v>5</v>
      </c>
      <c r="I316" s="52" t="s">
        <v>359</v>
      </c>
      <c r="J316" s="97"/>
      <c r="K316" s="97"/>
      <c r="L316" s="97"/>
      <c r="M316" s="97"/>
      <c r="N316" s="99"/>
      <c r="O316" s="99"/>
      <c r="P316" s="99"/>
      <c r="Q316" s="99"/>
      <c r="R316" s="11" t="s">
        <v>79</v>
      </c>
      <c r="S316" s="11" t="s">
        <v>79</v>
      </c>
      <c r="T316" s="100"/>
      <c r="U316" s="101"/>
      <c r="V316" s="112"/>
    </row>
    <row r="317" spans="1:22" ht="46" x14ac:dyDescent="0.35">
      <c r="B317" s="60"/>
      <c r="C317" s="63" t="s">
        <v>1493</v>
      </c>
      <c r="D317" s="95" t="s">
        <v>3</v>
      </c>
      <c r="E317" s="21" t="s">
        <v>1549</v>
      </c>
      <c r="F317" s="22" t="s">
        <v>2072</v>
      </c>
      <c r="G317" s="23" t="s">
        <v>2073</v>
      </c>
      <c r="H317" s="23" t="s">
        <v>5</v>
      </c>
      <c r="I317" s="52" t="s">
        <v>361</v>
      </c>
      <c r="J317" s="97"/>
      <c r="K317" s="97"/>
      <c r="L317" s="97"/>
      <c r="M317" s="97"/>
      <c r="N317" s="99"/>
      <c r="O317" s="99"/>
      <c r="P317" s="99"/>
      <c r="Q317" s="99"/>
      <c r="R317" s="11" t="s">
        <v>79</v>
      </c>
      <c r="S317" s="11" t="s">
        <v>79</v>
      </c>
      <c r="T317" s="100"/>
      <c r="U317" s="101"/>
      <c r="V317" s="112"/>
    </row>
    <row r="318" spans="1:22" ht="80.5" x14ac:dyDescent="0.35">
      <c r="B318" s="60"/>
      <c r="C318" s="63" t="s">
        <v>244</v>
      </c>
      <c r="D318" s="16" t="s">
        <v>2</v>
      </c>
      <c r="E318" s="17" t="s">
        <v>258</v>
      </c>
      <c r="F318" s="25" t="s">
        <v>259</v>
      </c>
      <c r="G318" s="19" t="s">
        <v>2077</v>
      </c>
      <c r="H318" s="19" t="s">
        <v>5</v>
      </c>
      <c r="I318" s="51" t="s">
        <v>361</v>
      </c>
      <c r="J318" s="19" t="s">
        <v>795</v>
      </c>
      <c r="K318" s="19" t="s">
        <v>794</v>
      </c>
      <c r="L318" s="19" t="s">
        <v>796</v>
      </c>
      <c r="M318" s="19" t="s">
        <v>797</v>
      </c>
      <c r="N318" s="10" t="s">
        <v>94</v>
      </c>
      <c r="O318" s="10" t="s">
        <v>227</v>
      </c>
      <c r="P318" s="10" t="s">
        <v>94</v>
      </c>
      <c r="Q318" s="10" t="s">
        <v>79</v>
      </c>
      <c r="R318" s="11" t="s">
        <v>79</v>
      </c>
      <c r="S318" s="11" t="s">
        <v>79</v>
      </c>
      <c r="T318" s="11"/>
      <c r="U318" s="81"/>
    </row>
    <row r="319" spans="1:22" ht="87" x14ac:dyDescent="0.35">
      <c r="A319" s="124" t="s">
        <v>2079</v>
      </c>
      <c r="B319" s="60"/>
      <c r="C319" s="94" t="s">
        <v>244</v>
      </c>
      <c r="D319" s="95" t="s">
        <v>3</v>
      </c>
      <c r="E319" s="96" t="s">
        <v>1553</v>
      </c>
      <c r="F319" s="86" t="s">
        <v>1554</v>
      </c>
      <c r="G319" s="23" t="s">
        <v>2078</v>
      </c>
      <c r="H319" s="97" t="s">
        <v>5</v>
      </c>
      <c r="I319" s="98" t="s">
        <v>361</v>
      </c>
      <c r="J319" s="97" t="s">
        <v>795</v>
      </c>
      <c r="K319" s="97" t="s">
        <v>1569</v>
      </c>
      <c r="L319" s="97" t="s">
        <v>1570</v>
      </c>
      <c r="M319" s="97" t="s">
        <v>1571</v>
      </c>
      <c r="N319" s="99" t="s">
        <v>94</v>
      </c>
      <c r="O319" s="99" t="s">
        <v>79</v>
      </c>
      <c r="P319" s="99" t="s">
        <v>94</v>
      </c>
      <c r="Q319" s="99" t="s">
        <v>79</v>
      </c>
      <c r="R319" s="100" t="s">
        <v>79</v>
      </c>
      <c r="S319" s="100" t="s">
        <v>79</v>
      </c>
      <c r="T319" s="100"/>
      <c r="U319" s="101"/>
      <c r="V319" s="125" t="s">
        <v>1673</v>
      </c>
    </row>
    <row r="320" spans="1:22" ht="57.5" x14ac:dyDescent="0.35">
      <c r="B320" s="60"/>
      <c r="C320" s="63" t="s">
        <v>43</v>
      </c>
      <c r="D320" s="95" t="s">
        <v>3</v>
      </c>
      <c r="E320" s="96" t="s">
        <v>1555</v>
      </c>
      <c r="F320" s="22" t="s">
        <v>2083</v>
      </c>
      <c r="G320" s="23" t="s">
        <v>2084</v>
      </c>
      <c r="H320" s="97" t="str">
        <f>"Decision 
If yes, proceed to step "&amp;E321&amp;" 
If no, proceed to "&amp;E322&amp;""</f>
        <v>Decision 
If yes, proceed to step 5.3.2.2 
If no, proceed to 5.3.2.3</v>
      </c>
      <c r="I320" s="98" t="s">
        <v>361</v>
      </c>
      <c r="J320" s="97" t="s">
        <v>795</v>
      </c>
      <c r="K320" s="97" t="s">
        <v>1569</v>
      </c>
      <c r="L320" s="97" t="s">
        <v>1570</v>
      </c>
      <c r="M320" s="97" t="s">
        <v>1571</v>
      </c>
      <c r="N320" s="99" t="s">
        <v>94</v>
      </c>
      <c r="O320" s="99" t="s">
        <v>79</v>
      </c>
      <c r="P320" s="99" t="s">
        <v>94</v>
      </c>
      <c r="Q320" s="99" t="s">
        <v>79</v>
      </c>
      <c r="R320" s="100" t="s">
        <v>79</v>
      </c>
      <c r="S320" s="100" t="s">
        <v>79</v>
      </c>
      <c r="T320" s="100"/>
      <c r="U320" s="101"/>
      <c r="V320" s="125"/>
    </row>
    <row r="321" spans="2:22" ht="46" x14ac:dyDescent="0.35">
      <c r="B321" s="60"/>
      <c r="C321" s="63" t="s">
        <v>43</v>
      </c>
      <c r="D321" s="95" t="s">
        <v>3</v>
      </c>
      <c r="E321" s="96" t="s">
        <v>1555</v>
      </c>
      <c r="F321" s="22" t="s">
        <v>2080</v>
      </c>
      <c r="G321" s="23" t="s">
        <v>2081</v>
      </c>
      <c r="H321" s="97" t="s">
        <v>5</v>
      </c>
      <c r="I321" s="98" t="s">
        <v>361</v>
      </c>
      <c r="J321" s="97" t="s">
        <v>795</v>
      </c>
      <c r="K321" s="97" t="s">
        <v>1569</v>
      </c>
      <c r="L321" s="97" t="s">
        <v>1570</v>
      </c>
      <c r="M321" s="97" t="s">
        <v>1571</v>
      </c>
      <c r="N321" s="99" t="s">
        <v>94</v>
      </c>
      <c r="O321" s="99" t="s">
        <v>79</v>
      </c>
      <c r="P321" s="99" t="s">
        <v>94</v>
      </c>
      <c r="Q321" s="99" t="s">
        <v>79</v>
      </c>
      <c r="R321" s="100" t="s">
        <v>79</v>
      </c>
      <c r="S321" s="100" t="s">
        <v>79</v>
      </c>
      <c r="T321" s="100"/>
      <c r="U321" s="101"/>
      <c r="V321" s="125"/>
    </row>
    <row r="322" spans="2:22" ht="34.5" x14ac:dyDescent="0.35">
      <c r="B322" s="60"/>
      <c r="C322" s="63" t="s">
        <v>43</v>
      </c>
      <c r="D322" s="95" t="s">
        <v>3</v>
      </c>
      <c r="E322" s="21" t="s">
        <v>2067</v>
      </c>
      <c r="F322" s="22" t="s">
        <v>2085</v>
      </c>
      <c r="G322" s="23" t="s">
        <v>2086</v>
      </c>
      <c r="H322" s="97" t="s">
        <v>5</v>
      </c>
      <c r="I322" s="52" t="s">
        <v>363</v>
      </c>
      <c r="J322" s="97"/>
      <c r="K322" s="97"/>
      <c r="L322" s="97"/>
      <c r="M322" s="97"/>
      <c r="N322" s="99"/>
      <c r="O322" s="99"/>
      <c r="P322" s="99"/>
      <c r="Q322" s="99"/>
      <c r="R322" s="100" t="s">
        <v>79</v>
      </c>
      <c r="S322" s="100" t="s">
        <v>79</v>
      </c>
      <c r="T322" s="11" t="s">
        <v>1651</v>
      </c>
      <c r="U322" s="101"/>
      <c r="V322" s="125"/>
    </row>
    <row r="323" spans="2:22" ht="34.5" x14ac:dyDescent="0.35">
      <c r="B323" s="60"/>
      <c r="C323" s="63" t="s">
        <v>43</v>
      </c>
      <c r="D323" s="95" t="s">
        <v>3</v>
      </c>
      <c r="E323" s="21" t="s">
        <v>2068</v>
      </c>
      <c r="F323" s="86" t="s">
        <v>1556</v>
      </c>
      <c r="G323" s="23" t="s">
        <v>2082</v>
      </c>
      <c r="H323" s="97" t="s">
        <v>5</v>
      </c>
      <c r="I323" s="98" t="s">
        <v>363</v>
      </c>
      <c r="J323" s="97" t="s">
        <v>1572</v>
      </c>
      <c r="K323" s="97" t="s">
        <v>1573</v>
      </c>
      <c r="L323" s="97" t="s">
        <v>1574</v>
      </c>
      <c r="M323" s="97" t="s">
        <v>1575</v>
      </c>
      <c r="N323" s="99" t="s">
        <v>94</v>
      </c>
      <c r="O323" s="99" t="s">
        <v>79</v>
      </c>
      <c r="P323" s="99" t="s">
        <v>94</v>
      </c>
      <c r="Q323" s="99" t="s">
        <v>79</v>
      </c>
      <c r="R323" s="100" t="s">
        <v>79</v>
      </c>
      <c r="S323" s="100" t="s">
        <v>79</v>
      </c>
      <c r="T323" s="11" t="s">
        <v>1651</v>
      </c>
      <c r="U323" s="101"/>
    </row>
    <row r="324" spans="2:22" ht="34.5" x14ac:dyDescent="0.35">
      <c r="B324" s="60"/>
      <c r="C324" s="63" t="s">
        <v>43</v>
      </c>
      <c r="D324" s="16" t="s">
        <v>2</v>
      </c>
      <c r="E324" s="17" t="s">
        <v>260</v>
      </c>
      <c r="F324" s="18" t="s">
        <v>2069</v>
      </c>
      <c r="G324" s="19" t="s">
        <v>2087</v>
      </c>
      <c r="H324" s="19" t="s">
        <v>5</v>
      </c>
      <c r="I324" s="51" t="s">
        <v>361</v>
      </c>
      <c r="J324" s="26"/>
      <c r="K324" s="26"/>
      <c r="L324" s="26"/>
      <c r="M324" s="26"/>
      <c r="N324" s="10" t="s">
        <v>94</v>
      </c>
      <c r="O324" s="10" t="s">
        <v>227</v>
      </c>
      <c r="P324" s="10" t="s">
        <v>94</v>
      </c>
      <c r="Q324" s="10" t="s">
        <v>137</v>
      </c>
      <c r="R324" s="11" t="s">
        <v>79</v>
      </c>
      <c r="S324" s="11" t="s">
        <v>79</v>
      </c>
      <c r="T324" s="11"/>
      <c r="U324" s="81"/>
    </row>
    <row r="325" spans="2:22" ht="34.5" x14ac:dyDescent="0.35">
      <c r="B325" s="60"/>
      <c r="C325" s="94" t="s">
        <v>43</v>
      </c>
      <c r="D325" s="95" t="s">
        <v>3</v>
      </c>
      <c r="E325" s="21" t="s">
        <v>1576</v>
      </c>
      <c r="F325" s="86" t="s">
        <v>1548</v>
      </c>
      <c r="G325" s="97" t="s">
        <v>1552</v>
      </c>
      <c r="H325" s="97" t="s">
        <v>5</v>
      </c>
      <c r="I325" s="98" t="s">
        <v>359</v>
      </c>
      <c r="J325" s="97" t="s">
        <v>1557</v>
      </c>
      <c r="K325" s="97" t="s">
        <v>1558</v>
      </c>
      <c r="L325" s="97" t="s">
        <v>1559</v>
      </c>
      <c r="M325" s="97" t="s">
        <v>1560</v>
      </c>
      <c r="N325" s="99" t="s">
        <v>94</v>
      </c>
      <c r="O325" s="99" t="s">
        <v>79</v>
      </c>
      <c r="P325" s="99" t="s">
        <v>94</v>
      </c>
      <c r="Q325" s="99" t="s">
        <v>137</v>
      </c>
      <c r="R325" s="100" t="s">
        <v>364</v>
      </c>
      <c r="S325" s="100" t="s">
        <v>79</v>
      </c>
      <c r="T325" s="100"/>
      <c r="U325" s="101"/>
    </row>
    <row r="326" spans="2:22" ht="34.5" x14ac:dyDescent="0.35">
      <c r="B326" s="60"/>
      <c r="C326" s="94" t="s">
        <v>43</v>
      </c>
      <c r="D326" s="95" t="s">
        <v>3</v>
      </c>
      <c r="E326" s="21" t="s">
        <v>1582</v>
      </c>
      <c r="F326" s="86" t="s">
        <v>1550</v>
      </c>
      <c r="G326" s="23" t="s">
        <v>2088</v>
      </c>
      <c r="H326" s="97" t="s">
        <v>5</v>
      </c>
      <c r="I326" s="98" t="s">
        <v>359</v>
      </c>
      <c r="J326" s="97" t="s">
        <v>1561</v>
      </c>
      <c r="K326" s="97" t="s">
        <v>1562</v>
      </c>
      <c r="L326" s="97" t="s">
        <v>1563</v>
      </c>
      <c r="M326" s="97" t="s">
        <v>1564</v>
      </c>
      <c r="N326" s="99" t="s">
        <v>94</v>
      </c>
      <c r="O326" s="99" t="s">
        <v>79</v>
      </c>
      <c r="P326" s="99" t="s">
        <v>94</v>
      </c>
      <c r="Q326" s="99" t="s">
        <v>94</v>
      </c>
      <c r="R326" s="100" t="s">
        <v>364</v>
      </c>
      <c r="S326" s="100" t="s">
        <v>79</v>
      </c>
      <c r="T326" s="100"/>
      <c r="U326" s="101"/>
    </row>
    <row r="327" spans="2:22" ht="34.5" x14ac:dyDescent="0.35">
      <c r="B327" s="60"/>
      <c r="C327" s="94" t="s">
        <v>43</v>
      </c>
      <c r="D327" s="95" t="s">
        <v>3</v>
      </c>
      <c r="E327" s="21" t="s">
        <v>1588</v>
      </c>
      <c r="F327" s="86" t="s">
        <v>1551</v>
      </c>
      <c r="G327" s="23" t="s">
        <v>2091</v>
      </c>
      <c r="H327" s="97" t="s">
        <v>5</v>
      </c>
      <c r="I327" s="98" t="s">
        <v>363</v>
      </c>
      <c r="J327" s="97" t="s">
        <v>1565</v>
      </c>
      <c r="K327" s="97" t="s">
        <v>1566</v>
      </c>
      <c r="L327" s="97" t="s">
        <v>1567</v>
      </c>
      <c r="M327" s="97" t="s">
        <v>1568</v>
      </c>
      <c r="N327" s="99" t="s">
        <v>94</v>
      </c>
      <c r="O327" s="99" t="s">
        <v>79</v>
      </c>
      <c r="P327" s="99" t="s">
        <v>94</v>
      </c>
      <c r="Q327" s="99" t="s">
        <v>94</v>
      </c>
      <c r="R327" s="100" t="s">
        <v>79</v>
      </c>
      <c r="S327" s="100" t="s">
        <v>79</v>
      </c>
      <c r="T327" s="100"/>
      <c r="U327" s="101"/>
    </row>
    <row r="328" spans="2:22" ht="126.5" x14ac:dyDescent="0.35">
      <c r="B328" s="60"/>
      <c r="C328" s="63" t="s">
        <v>43</v>
      </c>
      <c r="D328" s="16" t="s">
        <v>2</v>
      </c>
      <c r="E328" s="17" t="s">
        <v>2092</v>
      </c>
      <c r="F328" s="25" t="s">
        <v>261</v>
      </c>
      <c r="G328" s="26" t="s">
        <v>262</v>
      </c>
      <c r="H328" s="19" t="s">
        <v>5</v>
      </c>
      <c r="I328" s="51" t="s">
        <v>359</v>
      </c>
      <c r="J328" s="19" t="s">
        <v>799</v>
      </c>
      <c r="K328" s="19" t="s">
        <v>798</v>
      </c>
      <c r="L328" s="19" t="s">
        <v>800</v>
      </c>
      <c r="M328" s="19" t="s">
        <v>402</v>
      </c>
      <c r="N328" s="10" t="s">
        <v>94</v>
      </c>
      <c r="O328" s="10" t="s">
        <v>227</v>
      </c>
      <c r="P328" s="10" t="s">
        <v>94</v>
      </c>
      <c r="Q328" s="10" t="s">
        <v>137</v>
      </c>
      <c r="R328" s="11" t="s">
        <v>79</v>
      </c>
      <c r="S328" s="11" t="s">
        <v>79</v>
      </c>
      <c r="T328" s="11"/>
      <c r="U328" s="81"/>
    </row>
    <row r="329" spans="2:22" ht="46" x14ac:dyDescent="0.35">
      <c r="B329" s="60"/>
      <c r="C329" s="94" t="s">
        <v>43</v>
      </c>
      <c r="D329" s="95" t="s">
        <v>3</v>
      </c>
      <c r="E329" s="21" t="s">
        <v>2093</v>
      </c>
      <c r="F329" s="86" t="s">
        <v>1577</v>
      </c>
      <c r="G329" s="23" t="s">
        <v>2097</v>
      </c>
      <c r="H329" s="97" t="s">
        <v>5</v>
      </c>
      <c r="I329" s="52" t="s">
        <v>359</v>
      </c>
      <c r="J329" s="97" t="s">
        <v>1578</v>
      </c>
      <c r="K329" s="97" t="s">
        <v>1579</v>
      </c>
      <c r="L329" s="97" t="s">
        <v>1580</v>
      </c>
      <c r="M329" s="97" t="s">
        <v>1581</v>
      </c>
      <c r="N329" s="99" t="s">
        <v>94</v>
      </c>
      <c r="O329" s="99" t="s">
        <v>79</v>
      </c>
      <c r="P329" s="99" t="s">
        <v>94</v>
      </c>
      <c r="Q329" s="99" t="s">
        <v>137</v>
      </c>
      <c r="R329" s="100" t="s">
        <v>79</v>
      </c>
      <c r="S329" s="100" t="s">
        <v>79</v>
      </c>
      <c r="T329" s="100"/>
      <c r="U329" s="101"/>
    </row>
    <row r="330" spans="2:22" ht="34.5" x14ac:dyDescent="0.35">
      <c r="B330" s="60"/>
      <c r="C330" s="94" t="s">
        <v>43</v>
      </c>
      <c r="D330" s="95" t="s">
        <v>3</v>
      </c>
      <c r="E330" s="21" t="s">
        <v>2094</v>
      </c>
      <c r="F330" s="86" t="s">
        <v>1583</v>
      </c>
      <c r="G330" s="23" t="s">
        <v>2096</v>
      </c>
      <c r="H330" s="97" t="s">
        <v>5</v>
      </c>
      <c r="I330" s="52" t="s">
        <v>359</v>
      </c>
      <c r="J330" s="97" t="s">
        <v>1584</v>
      </c>
      <c r="K330" s="97" t="s">
        <v>1585</v>
      </c>
      <c r="L330" s="97" t="s">
        <v>1586</v>
      </c>
      <c r="M330" s="97" t="s">
        <v>1587</v>
      </c>
      <c r="N330" s="99" t="s">
        <v>94</v>
      </c>
      <c r="O330" s="99" t="s">
        <v>79</v>
      </c>
      <c r="P330" s="99" t="s">
        <v>94</v>
      </c>
      <c r="Q330" s="99" t="s">
        <v>79</v>
      </c>
      <c r="R330" s="100" t="s">
        <v>79</v>
      </c>
      <c r="S330" s="100" t="s">
        <v>79</v>
      </c>
      <c r="T330" s="100"/>
      <c r="U330" s="101"/>
    </row>
    <row r="331" spans="2:22" ht="46" x14ac:dyDescent="0.35">
      <c r="B331" s="60"/>
      <c r="C331" s="94" t="s">
        <v>43</v>
      </c>
      <c r="D331" s="95" t="s">
        <v>3</v>
      </c>
      <c r="E331" s="21" t="s">
        <v>2095</v>
      </c>
      <c r="F331" s="22" t="s">
        <v>1589</v>
      </c>
      <c r="G331" s="23" t="s">
        <v>2098</v>
      </c>
      <c r="H331" s="97" t="s">
        <v>5</v>
      </c>
      <c r="I331" s="52" t="s">
        <v>359</v>
      </c>
      <c r="J331" s="97"/>
      <c r="K331" s="97"/>
      <c r="L331" s="97"/>
      <c r="M331" s="97"/>
      <c r="N331" s="99" t="s">
        <v>94</v>
      </c>
      <c r="O331" s="99" t="s">
        <v>79</v>
      </c>
      <c r="P331" s="99" t="s">
        <v>94</v>
      </c>
      <c r="Q331" s="99" t="s">
        <v>137</v>
      </c>
      <c r="R331" s="100" t="s">
        <v>79</v>
      </c>
      <c r="S331" s="100" t="s">
        <v>79</v>
      </c>
      <c r="T331" s="100"/>
      <c r="U331" s="101"/>
    </row>
    <row r="332" spans="2:22" ht="138" x14ac:dyDescent="0.35">
      <c r="B332" s="60"/>
      <c r="C332" s="63" t="s">
        <v>43</v>
      </c>
      <c r="D332" s="6" t="s">
        <v>0</v>
      </c>
      <c r="E332" s="7" t="s">
        <v>263</v>
      </c>
      <c r="F332" s="8" t="s">
        <v>264</v>
      </c>
      <c r="G332" s="9" t="s">
        <v>265</v>
      </c>
      <c r="H332" s="9" t="s">
        <v>5</v>
      </c>
      <c r="I332" s="49"/>
      <c r="J332" s="9" t="s">
        <v>802</v>
      </c>
      <c r="K332" s="9" t="s">
        <v>801</v>
      </c>
      <c r="L332" s="9" t="s">
        <v>803</v>
      </c>
      <c r="M332" s="9" t="s">
        <v>399</v>
      </c>
      <c r="N332" s="10"/>
      <c r="O332" s="10"/>
      <c r="P332" s="10"/>
      <c r="Q332" s="10"/>
      <c r="R332" s="11" t="s">
        <v>79</v>
      </c>
      <c r="S332" s="11" t="s">
        <v>79</v>
      </c>
      <c r="T332" s="11"/>
      <c r="U332" s="80"/>
      <c r="V332" s="120" t="s">
        <v>1674</v>
      </c>
    </row>
    <row r="333" spans="2:22" ht="69" x14ac:dyDescent="0.35">
      <c r="B333" s="60"/>
      <c r="C333" s="63" t="s">
        <v>43</v>
      </c>
      <c r="D333" s="12" t="s">
        <v>1</v>
      </c>
      <c r="E333" s="13" t="s">
        <v>266</v>
      </c>
      <c r="F333" s="14" t="s">
        <v>267</v>
      </c>
      <c r="G333" s="15" t="s">
        <v>268</v>
      </c>
      <c r="H333" s="15" t="s">
        <v>5</v>
      </c>
      <c r="I333" s="50"/>
      <c r="J333" s="15" t="s">
        <v>805</v>
      </c>
      <c r="K333" s="15" t="s">
        <v>804</v>
      </c>
      <c r="L333" s="15" t="s">
        <v>806</v>
      </c>
      <c r="M333" s="15" t="s">
        <v>807</v>
      </c>
      <c r="N333" s="10" t="s">
        <v>79</v>
      </c>
      <c r="O333" s="10" t="s">
        <v>79</v>
      </c>
      <c r="P333" s="10" t="s">
        <v>269</v>
      </c>
      <c r="Q333" s="10" t="s">
        <v>79</v>
      </c>
      <c r="R333" s="11" t="s">
        <v>79</v>
      </c>
      <c r="S333" s="11" t="s">
        <v>79</v>
      </c>
      <c r="T333" s="11"/>
      <c r="U333" s="81"/>
    </row>
    <row r="334" spans="2:22" ht="34.5" x14ac:dyDescent="0.35">
      <c r="B334" s="60"/>
      <c r="C334" s="63" t="s">
        <v>43</v>
      </c>
      <c r="D334" s="16" t="s">
        <v>2</v>
      </c>
      <c r="E334" s="17" t="s">
        <v>270</v>
      </c>
      <c r="F334" s="18" t="s">
        <v>271</v>
      </c>
      <c r="G334" s="19" t="s">
        <v>272</v>
      </c>
      <c r="H334" s="19" t="s">
        <v>5</v>
      </c>
      <c r="I334" s="51"/>
      <c r="J334" s="19"/>
      <c r="K334" s="19"/>
      <c r="L334" s="19"/>
      <c r="M334" s="19"/>
      <c r="N334" s="10" t="s">
        <v>79</v>
      </c>
      <c r="O334" s="10" t="s">
        <v>79</v>
      </c>
      <c r="P334" s="10" t="s">
        <v>269</v>
      </c>
      <c r="Q334" s="10" t="s">
        <v>79</v>
      </c>
      <c r="R334" s="11" t="s">
        <v>79</v>
      </c>
      <c r="S334" s="11" t="s">
        <v>79</v>
      </c>
      <c r="T334" s="11"/>
      <c r="U334" s="81"/>
    </row>
    <row r="335" spans="2:22" ht="57.5" x14ac:dyDescent="0.35">
      <c r="B335" s="60"/>
      <c r="C335" s="63" t="s">
        <v>43</v>
      </c>
      <c r="D335" s="20" t="s">
        <v>3</v>
      </c>
      <c r="E335" s="21" t="s">
        <v>1097</v>
      </c>
      <c r="F335" s="22" t="s">
        <v>1098</v>
      </c>
      <c r="G335" s="23" t="s">
        <v>1100</v>
      </c>
      <c r="H335" s="23" t="s">
        <v>5</v>
      </c>
      <c r="I335" s="52" t="s">
        <v>359</v>
      </c>
      <c r="J335" s="23" t="s">
        <v>1205</v>
      </c>
      <c r="K335" s="23" t="s">
        <v>1206</v>
      </c>
      <c r="L335" s="23" t="s">
        <v>1207</v>
      </c>
      <c r="M335" s="23" t="s">
        <v>1208</v>
      </c>
      <c r="N335" s="10" t="s">
        <v>79</v>
      </c>
      <c r="O335" s="10" t="s">
        <v>79</v>
      </c>
      <c r="P335" s="10" t="s">
        <v>269</v>
      </c>
      <c r="Q335" s="10" t="s">
        <v>79</v>
      </c>
      <c r="R335" s="11" t="s">
        <v>79</v>
      </c>
      <c r="S335" s="11" t="s">
        <v>79</v>
      </c>
      <c r="T335" s="11"/>
      <c r="U335" s="81"/>
    </row>
    <row r="336" spans="2:22" ht="34.5" x14ac:dyDescent="0.35">
      <c r="B336" s="60"/>
      <c r="C336" s="63" t="s">
        <v>43</v>
      </c>
      <c r="D336" s="20" t="s">
        <v>3</v>
      </c>
      <c r="E336" s="21" t="s">
        <v>1097</v>
      </c>
      <c r="F336" s="22" t="s">
        <v>1099</v>
      </c>
      <c r="G336" s="23" t="s">
        <v>1101</v>
      </c>
      <c r="H336" s="23" t="s">
        <v>5</v>
      </c>
      <c r="I336" s="52" t="s">
        <v>359</v>
      </c>
      <c r="J336" s="23"/>
      <c r="K336" s="23"/>
      <c r="L336" s="23"/>
      <c r="M336" s="23"/>
      <c r="N336" s="10" t="s">
        <v>79</v>
      </c>
      <c r="O336" s="10" t="s">
        <v>79</v>
      </c>
      <c r="P336" s="10" t="s">
        <v>269</v>
      </c>
      <c r="Q336" s="10" t="s">
        <v>79</v>
      </c>
      <c r="R336" s="11" t="s">
        <v>79</v>
      </c>
      <c r="S336" s="11" t="s">
        <v>79</v>
      </c>
      <c r="T336" s="11"/>
      <c r="U336" s="81"/>
    </row>
    <row r="337" spans="2:21" ht="46" x14ac:dyDescent="0.35">
      <c r="B337" s="60"/>
      <c r="C337" s="63" t="s">
        <v>43</v>
      </c>
      <c r="D337" s="16" t="s">
        <v>2</v>
      </c>
      <c r="E337" s="17" t="s">
        <v>273</v>
      </c>
      <c r="F337" s="18" t="s">
        <v>274</v>
      </c>
      <c r="G337" s="19" t="s">
        <v>275</v>
      </c>
      <c r="H337" s="19" t="s">
        <v>5</v>
      </c>
      <c r="I337" s="51"/>
      <c r="J337" s="19" t="s">
        <v>809</v>
      </c>
      <c r="K337" s="19" t="s">
        <v>808</v>
      </c>
      <c r="L337" s="19" t="s">
        <v>810</v>
      </c>
      <c r="M337" s="19" t="s">
        <v>811</v>
      </c>
      <c r="N337" s="10" t="s">
        <v>79</v>
      </c>
      <c r="O337" s="10" t="s">
        <v>79</v>
      </c>
      <c r="P337" s="10" t="s">
        <v>269</v>
      </c>
      <c r="Q337" s="10" t="s">
        <v>79</v>
      </c>
      <c r="R337" s="11" t="s">
        <v>79</v>
      </c>
      <c r="S337" s="11" t="s">
        <v>79</v>
      </c>
      <c r="T337" s="11"/>
      <c r="U337" s="81"/>
    </row>
    <row r="338" spans="2:21" ht="46" x14ac:dyDescent="0.35">
      <c r="B338" s="60"/>
      <c r="C338" s="63" t="s">
        <v>1111</v>
      </c>
      <c r="D338" s="20" t="s">
        <v>3</v>
      </c>
      <c r="E338" s="21" t="s">
        <v>1102</v>
      </c>
      <c r="F338" s="22" t="s">
        <v>1105</v>
      </c>
      <c r="G338" s="23" t="s">
        <v>1106</v>
      </c>
      <c r="H338" s="23" t="s">
        <v>5</v>
      </c>
      <c r="I338" s="52" t="s">
        <v>359</v>
      </c>
      <c r="J338" s="23" t="s">
        <v>809</v>
      </c>
      <c r="K338" s="23" t="s">
        <v>1209</v>
      </c>
      <c r="L338" s="23" t="s">
        <v>1210</v>
      </c>
      <c r="M338" s="23" t="s">
        <v>811</v>
      </c>
      <c r="N338" s="10" t="s">
        <v>79</v>
      </c>
      <c r="O338" s="10" t="s">
        <v>79</v>
      </c>
      <c r="P338" s="10" t="s">
        <v>269</v>
      </c>
      <c r="Q338" s="10" t="s">
        <v>79</v>
      </c>
      <c r="R338" s="11" t="s">
        <v>364</v>
      </c>
      <c r="S338" s="11" t="s">
        <v>79</v>
      </c>
      <c r="T338" s="11"/>
      <c r="U338" s="81"/>
    </row>
    <row r="339" spans="2:21" ht="34.5" x14ac:dyDescent="0.35">
      <c r="B339" s="60"/>
      <c r="C339" s="63" t="s">
        <v>1111</v>
      </c>
      <c r="D339" s="20" t="s">
        <v>3</v>
      </c>
      <c r="E339" s="21" t="s">
        <v>1103</v>
      </c>
      <c r="F339" s="22" t="s">
        <v>1107</v>
      </c>
      <c r="G339" s="23" t="s">
        <v>1109</v>
      </c>
      <c r="H339" s="23" t="s">
        <v>5</v>
      </c>
      <c r="I339" s="52" t="s">
        <v>359</v>
      </c>
      <c r="J339" s="23" t="s">
        <v>1211</v>
      </c>
      <c r="K339" s="23" t="s">
        <v>1212</v>
      </c>
      <c r="L339" s="23" t="s">
        <v>1213</v>
      </c>
      <c r="M339" s="23" t="s">
        <v>1214</v>
      </c>
      <c r="N339" s="10" t="s">
        <v>79</v>
      </c>
      <c r="O339" s="10" t="s">
        <v>79</v>
      </c>
      <c r="P339" s="10" t="s">
        <v>269</v>
      </c>
      <c r="Q339" s="10" t="s">
        <v>79</v>
      </c>
      <c r="R339" s="11" t="s">
        <v>364</v>
      </c>
      <c r="S339" s="11" t="s">
        <v>79</v>
      </c>
      <c r="T339" s="11"/>
      <c r="U339" s="81"/>
    </row>
    <row r="340" spans="2:21" ht="23" x14ac:dyDescent="0.35">
      <c r="B340" s="60"/>
      <c r="C340" s="63" t="s">
        <v>1111</v>
      </c>
      <c r="D340" s="20" t="s">
        <v>3</v>
      </c>
      <c r="E340" s="21" t="s">
        <v>1104</v>
      </c>
      <c r="F340" s="22" t="s">
        <v>1108</v>
      </c>
      <c r="G340" s="23" t="s">
        <v>1110</v>
      </c>
      <c r="H340" s="23" t="s">
        <v>5</v>
      </c>
      <c r="I340" s="52" t="s">
        <v>359</v>
      </c>
      <c r="J340" s="23"/>
      <c r="K340" s="23"/>
      <c r="L340" s="23"/>
      <c r="M340" s="23"/>
      <c r="N340" s="10" t="s">
        <v>79</v>
      </c>
      <c r="O340" s="10" t="s">
        <v>79</v>
      </c>
      <c r="P340" s="10" t="s">
        <v>269</v>
      </c>
      <c r="Q340" s="10" t="s">
        <v>79</v>
      </c>
      <c r="R340" s="11" t="s">
        <v>364</v>
      </c>
      <c r="S340" s="11" t="s">
        <v>79</v>
      </c>
      <c r="T340" s="11"/>
      <c r="U340" s="81"/>
    </row>
    <row r="341" spans="2:21" ht="34.5" x14ac:dyDescent="0.35">
      <c r="B341" s="60"/>
      <c r="C341" s="63" t="s">
        <v>1111</v>
      </c>
      <c r="D341" s="20" t="s">
        <v>3</v>
      </c>
      <c r="E341" s="21" t="s">
        <v>1114</v>
      </c>
      <c r="F341" s="22" t="s">
        <v>1112</v>
      </c>
      <c r="G341" s="23" t="s">
        <v>1113</v>
      </c>
      <c r="H341" s="23" t="s">
        <v>5</v>
      </c>
      <c r="I341" s="52" t="s">
        <v>359</v>
      </c>
      <c r="J341" s="23"/>
      <c r="K341" s="23"/>
      <c r="L341" s="23"/>
      <c r="M341" s="23"/>
      <c r="N341" s="10" t="s">
        <v>79</v>
      </c>
      <c r="O341" s="10" t="s">
        <v>79</v>
      </c>
      <c r="P341" s="10" t="s">
        <v>269</v>
      </c>
      <c r="Q341" s="10" t="s">
        <v>79</v>
      </c>
      <c r="R341" s="11" t="s">
        <v>364</v>
      </c>
      <c r="S341" s="11" t="s">
        <v>79</v>
      </c>
      <c r="T341" s="11"/>
      <c r="U341" s="81"/>
    </row>
    <row r="342" spans="2:21" ht="46" x14ac:dyDescent="0.35">
      <c r="B342" s="60"/>
      <c r="C342" s="63" t="s">
        <v>1111</v>
      </c>
      <c r="D342" s="16" t="s">
        <v>2</v>
      </c>
      <c r="E342" s="17" t="s">
        <v>276</v>
      </c>
      <c r="F342" s="18" t="s">
        <v>277</v>
      </c>
      <c r="G342" s="19" t="s">
        <v>1115</v>
      </c>
      <c r="H342" s="116" t="str">
        <f>"Decision 
If yes, proceed to step "&amp;E343&amp;" 
If no, proceed to "&amp;E348&amp;""</f>
        <v>Decision 
If yes, proceed to step 6.1.4 
If no, proceed to 6.1.5</v>
      </c>
      <c r="I342" s="51" t="s">
        <v>359</v>
      </c>
      <c r="J342" s="19"/>
      <c r="K342" s="19"/>
      <c r="L342" s="19"/>
      <c r="M342" s="19"/>
      <c r="N342" s="10" t="s">
        <v>79</v>
      </c>
      <c r="O342" s="10" t="s">
        <v>79</v>
      </c>
      <c r="P342" s="10" t="s">
        <v>269</v>
      </c>
      <c r="Q342" s="10" t="s">
        <v>79</v>
      </c>
      <c r="R342" s="11" t="s">
        <v>364</v>
      </c>
      <c r="S342" s="11" t="s">
        <v>79</v>
      </c>
      <c r="T342" s="11"/>
      <c r="U342" s="81"/>
    </row>
    <row r="343" spans="2:21" ht="46" x14ac:dyDescent="0.35">
      <c r="B343" s="60"/>
      <c r="C343" s="63" t="s">
        <v>1111</v>
      </c>
      <c r="D343" s="16" t="s">
        <v>2</v>
      </c>
      <c r="E343" s="17" t="s">
        <v>278</v>
      </c>
      <c r="F343" s="18" t="s">
        <v>279</v>
      </c>
      <c r="G343" s="19" t="s">
        <v>280</v>
      </c>
      <c r="H343" s="19" t="s">
        <v>5</v>
      </c>
      <c r="I343" s="51"/>
      <c r="J343" s="19"/>
      <c r="K343" s="19"/>
      <c r="L343" s="19"/>
      <c r="M343" s="19"/>
      <c r="N343" s="10" t="s">
        <v>79</v>
      </c>
      <c r="O343" s="10" t="s">
        <v>79</v>
      </c>
      <c r="P343" s="10" t="s">
        <v>269</v>
      </c>
      <c r="Q343" s="10" t="s">
        <v>79</v>
      </c>
      <c r="R343" s="11" t="s">
        <v>79</v>
      </c>
      <c r="S343" s="11" t="s">
        <v>79</v>
      </c>
      <c r="T343" s="11" t="s">
        <v>1651</v>
      </c>
      <c r="U343" s="81"/>
    </row>
    <row r="344" spans="2:21" ht="34.5" x14ac:dyDescent="0.35">
      <c r="B344" s="60"/>
      <c r="C344" s="63" t="s">
        <v>1111</v>
      </c>
      <c r="D344" s="20" t="s">
        <v>3</v>
      </c>
      <c r="E344" s="21" t="s">
        <v>1117</v>
      </c>
      <c r="F344" s="22" t="s">
        <v>1116</v>
      </c>
      <c r="G344" s="23" t="s">
        <v>1120</v>
      </c>
      <c r="H344" s="23" t="s">
        <v>5</v>
      </c>
      <c r="I344" s="52" t="s">
        <v>363</v>
      </c>
      <c r="J344" s="23"/>
      <c r="K344" s="23"/>
      <c r="L344" s="23"/>
      <c r="M344" s="23"/>
      <c r="N344" s="10" t="s">
        <v>79</v>
      </c>
      <c r="O344" s="10" t="s">
        <v>79</v>
      </c>
      <c r="P344" s="10" t="s">
        <v>269</v>
      </c>
      <c r="Q344" s="10" t="s">
        <v>79</v>
      </c>
      <c r="R344" s="11" t="s">
        <v>79</v>
      </c>
      <c r="S344" s="11" t="s">
        <v>79</v>
      </c>
      <c r="T344" s="11"/>
      <c r="U344" s="81"/>
    </row>
    <row r="345" spans="2:21" ht="34.5" x14ac:dyDescent="0.35">
      <c r="B345" s="60"/>
      <c r="C345" s="63" t="s">
        <v>1111</v>
      </c>
      <c r="D345" s="20" t="s">
        <v>3</v>
      </c>
      <c r="E345" s="21" t="s">
        <v>1118</v>
      </c>
      <c r="F345" s="22" t="s">
        <v>1121</v>
      </c>
      <c r="G345" s="23" t="s">
        <v>1122</v>
      </c>
      <c r="H345" s="23" t="s">
        <v>5</v>
      </c>
      <c r="I345" s="52" t="s">
        <v>363</v>
      </c>
      <c r="J345" s="23"/>
      <c r="K345" s="23"/>
      <c r="L345" s="23"/>
      <c r="M345" s="23"/>
      <c r="N345" s="10" t="s">
        <v>79</v>
      </c>
      <c r="O345" s="10" t="s">
        <v>79</v>
      </c>
      <c r="P345" s="10" t="s">
        <v>269</v>
      </c>
      <c r="Q345" s="10" t="s">
        <v>79</v>
      </c>
      <c r="R345" s="11" t="s">
        <v>79</v>
      </c>
      <c r="S345" s="11" t="s">
        <v>79</v>
      </c>
      <c r="T345" s="11" t="s">
        <v>1651</v>
      </c>
      <c r="U345" s="81"/>
    </row>
    <row r="346" spans="2:21" ht="23" x14ac:dyDescent="0.35">
      <c r="B346" s="60"/>
      <c r="C346" s="63" t="s">
        <v>1111</v>
      </c>
      <c r="D346" s="20" t="s">
        <v>3</v>
      </c>
      <c r="E346" s="21" t="s">
        <v>1119</v>
      </c>
      <c r="F346" s="22" t="s">
        <v>1123</v>
      </c>
      <c r="G346" s="23" t="s">
        <v>1124</v>
      </c>
      <c r="H346" s="23" t="s">
        <v>5</v>
      </c>
      <c r="I346" s="52" t="s">
        <v>363</v>
      </c>
      <c r="J346" s="23"/>
      <c r="K346" s="23"/>
      <c r="L346" s="23"/>
      <c r="M346" s="23"/>
      <c r="N346" s="10" t="s">
        <v>79</v>
      </c>
      <c r="O346" s="10" t="s">
        <v>79</v>
      </c>
      <c r="P346" s="10" t="s">
        <v>269</v>
      </c>
      <c r="Q346" s="10" t="s">
        <v>79</v>
      </c>
      <c r="R346" s="11" t="s">
        <v>79</v>
      </c>
      <c r="S346" s="11" t="s">
        <v>79</v>
      </c>
      <c r="T346" s="11"/>
      <c r="U346" s="81"/>
    </row>
    <row r="347" spans="2:21" ht="23" x14ac:dyDescent="0.35">
      <c r="B347" s="60"/>
      <c r="C347" s="63" t="s">
        <v>43</v>
      </c>
      <c r="D347" s="20" t="s">
        <v>3</v>
      </c>
      <c r="E347" s="21" t="s">
        <v>1127</v>
      </c>
      <c r="F347" s="22" t="s">
        <v>1126</v>
      </c>
      <c r="G347" s="23" t="s">
        <v>1125</v>
      </c>
      <c r="H347" s="23" t="s">
        <v>5</v>
      </c>
      <c r="I347" s="52" t="s">
        <v>361</v>
      </c>
      <c r="J347" s="23"/>
      <c r="K347" s="23"/>
      <c r="L347" s="23"/>
      <c r="M347" s="23"/>
      <c r="N347" s="10" t="s">
        <v>79</v>
      </c>
      <c r="O347" s="10" t="s">
        <v>79</v>
      </c>
      <c r="P347" s="10" t="s">
        <v>269</v>
      </c>
      <c r="Q347" s="10" t="s">
        <v>79</v>
      </c>
      <c r="R347" s="11" t="s">
        <v>79</v>
      </c>
      <c r="S347" s="11" t="s">
        <v>79</v>
      </c>
      <c r="T347" s="11"/>
      <c r="U347" s="81"/>
    </row>
    <row r="348" spans="2:21" ht="23" x14ac:dyDescent="0.35">
      <c r="B348" s="60"/>
      <c r="C348" s="63" t="s">
        <v>43</v>
      </c>
      <c r="D348" s="16" t="s">
        <v>2</v>
      </c>
      <c r="E348" s="17" t="s">
        <v>281</v>
      </c>
      <c r="F348" s="18" t="s">
        <v>282</v>
      </c>
      <c r="G348" s="19" t="s">
        <v>283</v>
      </c>
      <c r="H348" s="19" t="s">
        <v>5</v>
      </c>
      <c r="I348" s="51"/>
      <c r="J348" s="19"/>
      <c r="K348" s="19"/>
      <c r="L348" s="19"/>
      <c r="M348" s="19"/>
      <c r="N348" s="10" t="s">
        <v>79</v>
      </c>
      <c r="O348" s="10" t="s">
        <v>79</v>
      </c>
      <c r="P348" s="10" t="s">
        <v>269</v>
      </c>
      <c r="Q348" s="10" t="s">
        <v>79</v>
      </c>
      <c r="R348" s="11" t="s">
        <v>79</v>
      </c>
      <c r="S348" s="11" t="s">
        <v>79</v>
      </c>
      <c r="T348" s="11"/>
      <c r="U348" s="81"/>
    </row>
    <row r="349" spans="2:21" ht="23" x14ac:dyDescent="0.35">
      <c r="B349" s="60"/>
      <c r="C349" s="63" t="s">
        <v>1111</v>
      </c>
      <c r="D349" s="20" t="s">
        <v>3</v>
      </c>
      <c r="E349" s="21" t="s">
        <v>1128</v>
      </c>
      <c r="F349" s="22" t="s">
        <v>1131</v>
      </c>
      <c r="G349" s="23" t="s">
        <v>1134</v>
      </c>
      <c r="H349" s="23" t="s">
        <v>5</v>
      </c>
      <c r="I349" s="52" t="s">
        <v>359</v>
      </c>
      <c r="J349" s="23"/>
      <c r="K349" s="23"/>
      <c r="L349" s="23"/>
      <c r="M349" s="23"/>
      <c r="N349" s="10" t="s">
        <v>79</v>
      </c>
      <c r="O349" s="10" t="s">
        <v>79</v>
      </c>
      <c r="P349" s="10" t="s">
        <v>269</v>
      </c>
      <c r="Q349" s="10" t="s">
        <v>79</v>
      </c>
      <c r="R349" s="11" t="s">
        <v>79</v>
      </c>
      <c r="S349" s="11" t="s">
        <v>79</v>
      </c>
      <c r="T349" s="11"/>
      <c r="U349" s="81"/>
    </row>
    <row r="350" spans="2:21" ht="34.5" x14ac:dyDescent="0.35">
      <c r="B350" s="60"/>
      <c r="C350" s="63" t="s">
        <v>1111</v>
      </c>
      <c r="D350" s="20" t="s">
        <v>3</v>
      </c>
      <c r="E350" s="21" t="s">
        <v>1129</v>
      </c>
      <c r="F350" s="22" t="s">
        <v>1132</v>
      </c>
      <c r="G350" s="23" t="s">
        <v>1135</v>
      </c>
      <c r="H350" s="23" t="s">
        <v>5</v>
      </c>
      <c r="I350" s="52" t="s">
        <v>363</v>
      </c>
      <c r="J350" s="23"/>
      <c r="K350" s="23"/>
      <c r="L350" s="23"/>
      <c r="M350" s="23"/>
      <c r="N350" s="10" t="s">
        <v>79</v>
      </c>
      <c r="O350" s="10" t="s">
        <v>79</v>
      </c>
      <c r="P350" s="10" t="s">
        <v>269</v>
      </c>
      <c r="Q350" s="10" t="s">
        <v>79</v>
      </c>
      <c r="R350" s="11" t="s">
        <v>79</v>
      </c>
      <c r="S350" s="11" t="s">
        <v>79</v>
      </c>
      <c r="T350" s="11"/>
      <c r="U350" s="81"/>
    </row>
    <row r="351" spans="2:21" ht="23" x14ac:dyDescent="0.35">
      <c r="B351" s="60"/>
      <c r="C351" s="63" t="s">
        <v>1111</v>
      </c>
      <c r="D351" s="20" t="s">
        <v>3</v>
      </c>
      <c r="E351" s="21" t="s">
        <v>1130</v>
      </c>
      <c r="F351" s="22" t="s">
        <v>1133</v>
      </c>
      <c r="G351" s="23" t="s">
        <v>1136</v>
      </c>
      <c r="H351" s="23" t="s">
        <v>5</v>
      </c>
      <c r="I351" s="52" t="s">
        <v>361</v>
      </c>
      <c r="J351" s="23"/>
      <c r="K351" s="23"/>
      <c r="L351" s="23"/>
      <c r="M351" s="23"/>
      <c r="N351" s="10" t="s">
        <v>79</v>
      </c>
      <c r="O351" s="10" t="s">
        <v>79</v>
      </c>
      <c r="P351" s="10" t="s">
        <v>269</v>
      </c>
      <c r="Q351" s="10" t="s">
        <v>79</v>
      </c>
      <c r="R351" s="11" t="s">
        <v>79</v>
      </c>
      <c r="S351" s="11" t="s">
        <v>79</v>
      </c>
      <c r="T351" s="11"/>
      <c r="U351" s="81"/>
    </row>
    <row r="352" spans="2:21" ht="103.5" x14ac:dyDescent="0.35">
      <c r="B352" s="60"/>
      <c r="C352" s="63" t="s">
        <v>287</v>
      </c>
      <c r="D352" s="12" t="s">
        <v>1</v>
      </c>
      <c r="E352" s="13" t="s">
        <v>284</v>
      </c>
      <c r="F352" s="14" t="s">
        <v>285</v>
      </c>
      <c r="G352" s="15" t="s">
        <v>286</v>
      </c>
      <c r="H352" s="15" t="s">
        <v>5</v>
      </c>
      <c r="I352" s="50"/>
      <c r="J352" s="15" t="s">
        <v>813</v>
      </c>
      <c r="K352" s="15" t="s">
        <v>812</v>
      </c>
      <c r="L352" s="15" t="s">
        <v>814</v>
      </c>
      <c r="M352" s="15" t="s">
        <v>815</v>
      </c>
      <c r="N352" s="10" t="s">
        <v>79</v>
      </c>
      <c r="O352" s="10" t="s">
        <v>79</v>
      </c>
      <c r="P352" s="10" t="s">
        <v>79</v>
      </c>
      <c r="Q352" s="10" t="s">
        <v>79</v>
      </c>
      <c r="R352" s="11" t="s">
        <v>79</v>
      </c>
      <c r="S352" s="11" t="s">
        <v>79</v>
      </c>
      <c r="T352" s="11" t="s">
        <v>1651</v>
      </c>
      <c r="U352" s="81"/>
    </row>
    <row r="353" spans="2:21" ht="34.5" x14ac:dyDescent="0.35">
      <c r="B353" s="60"/>
      <c r="C353" s="63" t="s">
        <v>1141</v>
      </c>
      <c r="D353" s="16" t="s">
        <v>2</v>
      </c>
      <c r="E353" s="17" t="s">
        <v>288</v>
      </c>
      <c r="F353" s="18" t="s">
        <v>289</v>
      </c>
      <c r="G353" s="19" t="s">
        <v>290</v>
      </c>
      <c r="H353" s="19" t="s">
        <v>5</v>
      </c>
      <c r="I353" s="51"/>
      <c r="J353" s="19"/>
      <c r="K353" s="19"/>
      <c r="L353" s="19"/>
      <c r="M353" s="19"/>
      <c r="N353" s="10" t="s">
        <v>79</v>
      </c>
      <c r="O353" s="10" t="s">
        <v>79</v>
      </c>
      <c r="P353" s="10" t="s">
        <v>79</v>
      </c>
      <c r="Q353" s="10" t="s">
        <v>79</v>
      </c>
      <c r="R353" s="11" t="s">
        <v>364</v>
      </c>
      <c r="S353" s="11" t="s">
        <v>79</v>
      </c>
      <c r="T353" s="11"/>
      <c r="U353" s="81"/>
    </row>
    <row r="354" spans="2:21" ht="34.5" x14ac:dyDescent="0.35">
      <c r="B354" s="60"/>
      <c r="C354" s="63" t="s">
        <v>1141</v>
      </c>
      <c r="D354" s="20" t="s">
        <v>3</v>
      </c>
      <c r="E354" s="21" t="s">
        <v>1137</v>
      </c>
      <c r="F354" s="22" t="s">
        <v>1139</v>
      </c>
      <c r="G354" s="23" t="s">
        <v>1142</v>
      </c>
      <c r="H354" s="23" t="s">
        <v>5</v>
      </c>
      <c r="I354" s="52" t="s">
        <v>359</v>
      </c>
      <c r="J354" s="23"/>
      <c r="K354" s="23"/>
      <c r="L354" s="23"/>
      <c r="M354" s="23"/>
      <c r="N354" s="10" t="s">
        <v>79</v>
      </c>
      <c r="O354" s="10" t="s">
        <v>79</v>
      </c>
      <c r="P354" s="10" t="s">
        <v>79</v>
      </c>
      <c r="Q354" s="10" t="s">
        <v>79</v>
      </c>
      <c r="R354" s="11" t="s">
        <v>364</v>
      </c>
      <c r="S354" s="11" t="s">
        <v>79</v>
      </c>
      <c r="T354" s="11"/>
      <c r="U354" s="81"/>
    </row>
    <row r="355" spans="2:21" ht="34.5" x14ac:dyDescent="0.35">
      <c r="B355" s="60"/>
      <c r="C355" s="63" t="s">
        <v>1141</v>
      </c>
      <c r="D355" s="20" t="s">
        <v>3</v>
      </c>
      <c r="E355" s="21" t="s">
        <v>1138</v>
      </c>
      <c r="F355" s="22" t="s">
        <v>1140</v>
      </c>
      <c r="G355" s="23" t="s">
        <v>1143</v>
      </c>
      <c r="H355" s="23" t="s">
        <v>5</v>
      </c>
      <c r="I355" s="52" t="s">
        <v>359</v>
      </c>
      <c r="J355" s="23"/>
      <c r="K355" s="23"/>
      <c r="L355" s="23"/>
      <c r="M355" s="23"/>
      <c r="N355" s="10" t="s">
        <v>79</v>
      </c>
      <c r="O355" s="10" t="s">
        <v>79</v>
      </c>
      <c r="P355" s="10" t="s">
        <v>79</v>
      </c>
      <c r="Q355" s="10" t="s">
        <v>79</v>
      </c>
      <c r="R355" s="11" t="s">
        <v>364</v>
      </c>
      <c r="S355" s="11" t="s">
        <v>79</v>
      </c>
      <c r="T355" s="11"/>
      <c r="U355" s="81"/>
    </row>
    <row r="356" spans="2:21" ht="23" x14ac:dyDescent="0.35">
      <c r="B356" s="60"/>
      <c r="C356" s="63" t="s">
        <v>1152</v>
      </c>
      <c r="D356" s="16" t="s">
        <v>2</v>
      </c>
      <c r="E356" s="17" t="s">
        <v>291</v>
      </c>
      <c r="F356" s="18" t="s">
        <v>292</v>
      </c>
      <c r="G356" s="19" t="s">
        <v>293</v>
      </c>
      <c r="H356" s="19" t="s">
        <v>5</v>
      </c>
      <c r="I356" s="51"/>
      <c r="J356" s="19"/>
      <c r="K356" s="19"/>
      <c r="L356" s="19"/>
      <c r="M356" s="19"/>
      <c r="N356" s="10" t="s">
        <v>79</v>
      </c>
      <c r="O356" s="10" t="s">
        <v>79</v>
      </c>
      <c r="P356" s="10" t="s">
        <v>79</v>
      </c>
      <c r="Q356" s="10" t="s">
        <v>79</v>
      </c>
      <c r="R356" s="11" t="s">
        <v>79</v>
      </c>
      <c r="S356" s="11" t="s">
        <v>79</v>
      </c>
      <c r="T356" s="11"/>
      <c r="U356" s="81"/>
    </row>
    <row r="357" spans="2:21" ht="34.5" x14ac:dyDescent="0.35">
      <c r="B357" s="60"/>
      <c r="C357" s="63" t="s">
        <v>1141</v>
      </c>
      <c r="D357" s="20" t="s">
        <v>3</v>
      </c>
      <c r="E357" s="21" t="s">
        <v>1145</v>
      </c>
      <c r="F357" s="22" t="s">
        <v>1148</v>
      </c>
      <c r="G357" s="23" t="s">
        <v>1149</v>
      </c>
      <c r="H357" s="23" t="s">
        <v>5</v>
      </c>
      <c r="I357" s="52" t="s">
        <v>359</v>
      </c>
      <c r="J357" s="23" t="s">
        <v>1215</v>
      </c>
      <c r="K357" s="23" t="s">
        <v>1216</v>
      </c>
      <c r="L357" s="23" t="s">
        <v>1217</v>
      </c>
      <c r="M357" s="23" t="s">
        <v>1218</v>
      </c>
      <c r="N357" s="10" t="s">
        <v>79</v>
      </c>
      <c r="O357" s="10" t="s">
        <v>79</v>
      </c>
      <c r="P357" s="10" t="s">
        <v>79</v>
      </c>
      <c r="Q357" s="10" t="s">
        <v>79</v>
      </c>
      <c r="R357" s="11" t="s">
        <v>364</v>
      </c>
      <c r="S357" s="11" t="s">
        <v>79</v>
      </c>
      <c r="T357" s="11"/>
      <c r="U357" s="81"/>
    </row>
    <row r="358" spans="2:21" ht="23" x14ac:dyDescent="0.35">
      <c r="B358" s="60"/>
      <c r="C358" s="63" t="s">
        <v>1153</v>
      </c>
      <c r="D358" s="20" t="s">
        <v>3</v>
      </c>
      <c r="E358" s="21" t="s">
        <v>1146</v>
      </c>
      <c r="F358" s="22" t="s">
        <v>1150</v>
      </c>
      <c r="G358" s="23" t="s">
        <v>1151</v>
      </c>
      <c r="H358" s="23" t="s">
        <v>5</v>
      </c>
      <c r="I358" s="52" t="s">
        <v>363</v>
      </c>
      <c r="J358" s="23"/>
      <c r="K358" s="23"/>
      <c r="L358" s="23"/>
      <c r="M358" s="23"/>
      <c r="N358" s="10"/>
      <c r="O358" s="10"/>
      <c r="P358" s="10"/>
      <c r="Q358" s="10"/>
      <c r="R358" s="11"/>
      <c r="S358" s="11"/>
      <c r="T358" s="11"/>
      <c r="U358" s="81"/>
    </row>
    <row r="359" spans="2:21" x14ac:dyDescent="0.35">
      <c r="B359" s="60"/>
      <c r="C359" s="63" t="s">
        <v>1141</v>
      </c>
      <c r="D359" s="20" t="s">
        <v>3</v>
      </c>
      <c r="E359" s="21" t="s">
        <v>1147</v>
      </c>
      <c r="F359" s="22" t="s">
        <v>1144</v>
      </c>
      <c r="G359" s="23" t="s">
        <v>1175</v>
      </c>
      <c r="H359" s="23" t="s">
        <v>5</v>
      </c>
      <c r="I359" s="52" t="s">
        <v>363</v>
      </c>
      <c r="J359" s="23"/>
      <c r="K359" s="23"/>
      <c r="L359" s="23"/>
      <c r="M359" s="23"/>
      <c r="N359" s="10"/>
      <c r="O359" s="10"/>
      <c r="P359" s="10"/>
      <c r="Q359" s="10"/>
      <c r="R359" s="11"/>
      <c r="S359" s="11"/>
      <c r="T359" s="11"/>
      <c r="U359" s="81"/>
    </row>
    <row r="360" spans="2:21" ht="46" x14ac:dyDescent="0.35">
      <c r="B360" s="60"/>
      <c r="C360" s="63" t="s">
        <v>1141</v>
      </c>
      <c r="D360" s="16" t="s">
        <v>2</v>
      </c>
      <c r="E360" s="17" t="s">
        <v>295</v>
      </c>
      <c r="F360" s="18" t="s">
        <v>296</v>
      </c>
      <c r="G360" s="19" t="s">
        <v>297</v>
      </c>
      <c r="H360" s="116" t="str">
        <f>"Decision 
If yes, proceed to step "&amp;E361&amp;" 
If no, proceed to "&amp;E366&amp;""</f>
        <v>Decision 
If yes, proceed to step 6.2.4 
If no, proceed to 6.2.5</v>
      </c>
      <c r="I360" s="51" t="s">
        <v>363</v>
      </c>
      <c r="J360" s="19"/>
      <c r="K360" s="19"/>
      <c r="L360" s="19"/>
      <c r="M360" s="19"/>
      <c r="N360" s="10" t="s">
        <v>79</v>
      </c>
      <c r="O360" s="10" t="s">
        <v>79</v>
      </c>
      <c r="P360" s="10" t="s">
        <v>79</v>
      </c>
      <c r="Q360" s="10" t="s">
        <v>79</v>
      </c>
      <c r="R360" s="11" t="s">
        <v>79</v>
      </c>
      <c r="S360" s="11" t="s">
        <v>79</v>
      </c>
      <c r="T360" s="11"/>
      <c r="U360" s="81"/>
    </row>
    <row r="361" spans="2:21" ht="57.5" x14ac:dyDescent="0.35">
      <c r="B361" s="60"/>
      <c r="C361" s="63" t="s">
        <v>294</v>
      </c>
      <c r="D361" s="16" t="s">
        <v>2</v>
      </c>
      <c r="E361" s="17" t="s">
        <v>298</v>
      </c>
      <c r="F361" s="18" t="s">
        <v>299</v>
      </c>
      <c r="G361" s="19" t="s">
        <v>300</v>
      </c>
      <c r="H361" s="19" t="s">
        <v>5</v>
      </c>
      <c r="I361" s="51" t="s">
        <v>363</v>
      </c>
      <c r="J361" s="19" t="s">
        <v>817</v>
      </c>
      <c r="K361" s="19" t="s">
        <v>816</v>
      </c>
      <c r="L361" s="19" t="s">
        <v>818</v>
      </c>
      <c r="M361" s="19" t="s">
        <v>819</v>
      </c>
      <c r="N361" s="10" t="s">
        <v>79</v>
      </c>
      <c r="O361" s="10" t="s">
        <v>79</v>
      </c>
      <c r="P361" s="10" t="s">
        <v>79</v>
      </c>
      <c r="Q361" s="10" t="s">
        <v>79</v>
      </c>
      <c r="R361" s="11" t="s">
        <v>79</v>
      </c>
      <c r="S361" s="11" t="s">
        <v>79</v>
      </c>
      <c r="T361" s="11" t="s">
        <v>1651</v>
      </c>
      <c r="U361" s="81"/>
    </row>
    <row r="362" spans="2:21" ht="46" x14ac:dyDescent="0.35">
      <c r="B362" s="60"/>
      <c r="C362" s="63" t="s">
        <v>1141</v>
      </c>
      <c r="D362" s="20" t="s">
        <v>3</v>
      </c>
      <c r="E362" s="21" t="s">
        <v>1154</v>
      </c>
      <c r="F362" s="22" t="s">
        <v>1158</v>
      </c>
      <c r="G362" s="23" t="s">
        <v>1161</v>
      </c>
      <c r="H362" s="23" t="s">
        <v>5</v>
      </c>
      <c r="I362" s="52" t="s">
        <v>363</v>
      </c>
      <c r="J362" s="23" t="s">
        <v>817</v>
      </c>
      <c r="K362" s="23" t="s">
        <v>1219</v>
      </c>
      <c r="L362" s="23" t="s">
        <v>1220</v>
      </c>
      <c r="M362" s="23" t="s">
        <v>1221</v>
      </c>
      <c r="N362" s="10" t="s">
        <v>79</v>
      </c>
      <c r="O362" s="10" t="s">
        <v>79</v>
      </c>
      <c r="P362" s="10" t="s">
        <v>79</v>
      </c>
      <c r="Q362" s="10" t="s">
        <v>79</v>
      </c>
      <c r="R362" s="11" t="s">
        <v>79</v>
      </c>
      <c r="S362" s="11" t="s">
        <v>79</v>
      </c>
      <c r="T362" s="11"/>
      <c r="U362" s="81"/>
    </row>
    <row r="363" spans="2:21" ht="34.5" x14ac:dyDescent="0.35">
      <c r="B363" s="60"/>
      <c r="C363" s="63" t="s">
        <v>1141</v>
      </c>
      <c r="D363" s="20" t="s">
        <v>3</v>
      </c>
      <c r="E363" s="21" t="s">
        <v>1155</v>
      </c>
      <c r="F363" s="22" t="s">
        <v>1159</v>
      </c>
      <c r="G363" s="23" t="s">
        <v>1162</v>
      </c>
      <c r="H363" s="23" t="s">
        <v>5</v>
      </c>
      <c r="I363" s="52" t="s">
        <v>363</v>
      </c>
      <c r="J363" s="23"/>
      <c r="K363" s="23"/>
      <c r="L363" s="23"/>
      <c r="M363" s="23"/>
      <c r="N363" s="10" t="s">
        <v>79</v>
      </c>
      <c r="O363" s="10" t="s">
        <v>79</v>
      </c>
      <c r="P363" s="10" t="s">
        <v>79</v>
      </c>
      <c r="Q363" s="10" t="s">
        <v>79</v>
      </c>
      <c r="R363" s="11" t="s">
        <v>79</v>
      </c>
      <c r="S363" s="11" t="s">
        <v>79</v>
      </c>
      <c r="T363" s="11"/>
      <c r="U363" s="81"/>
    </row>
    <row r="364" spans="2:21" ht="34.5" x14ac:dyDescent="0.35">
      <c r="B364" s="60"/>
      <c r="C364" s="63" t="s">
        <v>1141</v>
      </c>
      <c r="D364" s="20" t="s">
        <v>3</v>
      </c>
      <c r="E364" s="21" t="s">
        <v>1156</v>
      </c>
      <c r="F364" s="22" t="s">
        <v>1160</v>
      </c>
      <c r="G364" s="23" t="s">
        <v>1163</v>
      </c>
      <c r="H364" s="23" t="s">
        <v>5</v>
      </c>
      <c r="I364" s="52" t="s">
        <v>363</v>
      </c>
      <c r="J364" s="23"/>
      <c r="K364" s="23" t="s">
        <v>1222</v>
      </c>
      <c r="L364" s="23"/>
      <c r="M364" s="23"/>
      <c r="N364" s="10" t="s">
        <v>79</v>
      </c>
      <c r="O364" s="10" t="s">
        <v>79</v>
      </c>
      <c r="P364" s="10" t="s">
        <v>79</v>
      </c>
      <c r="Q364" s="10" t="s">
        <v>79</v>
      </c>
      <c r="R364" s="11" t="s">
        <v>79</v>
      </c>
      <c r="S364" s="11" t="s">
        <v>79</v>
      </c>
      <c r="T364" s="11"/>
      <c r="U364" s="81"/>
    </row>
    <row r="365" spans="2:21" ht="34.5" x14ac:dyDescent="0.35">
      <c r="B365" s="60"/>
      <c r="C365" s="63" t="s">
        <v>1141</v>
      </c>
      <c r="D365" s="20" t="s">
        <v>3</v>
      </c>
      <c r="E365" s="21" t="s">
        <v>1157</v>
      </c>
      <c r="F365" s="22" t="s">
        <v>1164</v>
      </c>
      <c r="G365" s="23" t="s">
        <v>1165</v>
      </c>
      <c r="H365" s="23" t="s">
        <v>5</v>
      </c>
      <c r="I365" s="52" t="s">
        <v>363</v>
      </c>
      <c r="J365" s="23"/>
      <c r="K365" s="23"/>
      <c r="L365" s="23"/>
      <c r="M365" s="23"/>
      <c r="N365" s="10" t="s">
        <v>79</v>
      </c>
      <c r="O365" s="10" t="s">
        <v>79</v>
      </c>
      <c r="P365" s="10" t="s">
        <v>79</v>
      </c>
      <c r="Q365" s="10" t="s">
        <v>79</v>
      </c>
      <c r="R365" s="11" t="s">
        <v>79</v>
      </c>
      <c r="S365" s="11" t="s">
        <v>79</v>
      </c>
      <c r="T365" s="11"/>
      <c r="U365" s="81"/>
    </row>
    <row r="366" spans="2:21" ht="46" x14ac:dyDescent="0.35">
      <c r="B366" s="60"/>
      <c r="C366" s="63" t="s">
        <v>1152</v>
      </c>
      <c r="D366" s="16" t="s">
        <v>2</v>
      </c>
      <c r="E366" s="17" t="s">
        <v>301</v>
      </c>
      <c r="F366" s="18" t="s">
        <v>302</v>
      </c>
      <c r="G366" s="19" t="s">
        <v>303</v>
      </c>
      <c r="H366" s="19" t="s">
        <v>5</v>
      </c>
      <c r="I366" s="51" t="s">
        <v>363</v>
      </c>
      <c r="J366" s="19" t="s">
        <v>1223</v>
      </c>
      <c r="K366" s="19" t="s">
        <v>1224</v>
      </c>
      <c r="L366" s="19" t="s">
        <v>1225</v>
      </c>
      <c r="M366" s="19" t="s">
        <v>1226</v>
      </c>
      <c r="N366" s="10" t="s">
        <v>94</v>
      </c>
      <c r="O366" s="10" t="s">
        <v>94</v>
      </c>
      <c r="P366" s="10" t="s">
        <v>94</v>
      </c>
      <c r="Q366" s="10" t="s">
        <v>94</v>
      </c>
      <c r="R366" s="11" t="s">
        <v>1651</v>
      </c>
      <c r="S366" s="11" t="s">
        <v>1651</v>
      </c>
      <c r="T366" s="11"/>
      <c r="U366" s="81"/>
    </row>
    <row r="367" spans="2:21" ht="23" x14ac:dyDescent="0.35">
      <c r="B367" s="60"/>
      <c r="C367" s="63" t="s">
        <v>1141</v>
      </c>
      <c r="D367" s="20" t="s">
        <v>3</v>
      </c>
      <c r="E367" s="21" t="s">
        <v>1166</v>
      </c>
      <c r="F367" s="22" t="s">
        <v>1170</v>
      </c>
      <c r="G367" s="23" t="s">
        <v>1171</v>
      </c>
      <c r="H367" s="23" t="s">
        <v>5</v>
      </c>
      <c r="I367" s="52" t="s">
        <v>363</v>
      </c>
      <c r="J367" s="23"/>
      <c r="K367" s="23"/>
      <c r="L367" s="23"/>
      <c r="M367" s="23"/>
      <c r="N367" s="10" t="s">
        <v>94</v>
      </c>
      <c r="O367" s="10" t="s">
        <v>94</v>
      </c>
      <c r="P367" s="10" t="s">
        <v>94</v>
      </c>
      <c r="Q367" s="10" t="s">
        <v>94</v>
      </c>
      <c r="R367" s="11" t="s">
        <v>79</v>
      </c>
      <c r="S367" s="11" t="s">
        <v>79</v>
      </c>
      <c r="T367" s="11"/>
      <c r="U367" s="81"/>
    </row>
    <row r="368" spans="2:21" ht="34.5" x14ac:dyDescent="0.35">
      <c r="B368" s="60"/>
      <c r="C368" s="63" t="s">
        <v>1141</v>
      </c>
      <c r="D368" s="20" t="s">
        <v>3</v>
      </c>
      <c r="E368" s="21" t="s">
        <v>1167</v>
      </c>
      <c r="F368" s="22" t="s">
        <v>1174</v>
      </c>
      <c r="G368" s="23" t="s">
        <v>1173</v>
      </c>
      <c r="H368" s="23" t="s">
        <v>5</v>
      </c>
      <c r="I368" s="52" t="s">
        <v>363</v>
      </c>
      <c r="J368" s="23"/>
      <c r="K368" s="23"/>
      <c r="L368" s="23"/>
      <c r="M368" s="23"/>
      <c r="N368" s="10" t="s">
        <v>94</v>
      </c>
      <c r="O368" s="10" t="s">
        <v>94</v>
      </c>
      <c r="P368" s="10" t="s">
        <v>94</v>
      </c>
      <c r="Q368" s="10" t="s">
        <v>94</v>
      </c>
      <c r="R368" s="11" t="s">
        <v>79</v>
      </c>
      <c r="S368" s="11" t="s">
        <v>79</v>
      </c>
      <c r="T368" s="11"/>
      <c r="U368" s="81"/>
    </row>
    <row r="369" spans="2:21" ht="23" x14ac:dyDescent="0.35">
      <c r="B369" s="60"/>
      <c r="C369" s="63" t="s">
        <v>1153</v>
      </c>
      <c r="D369" s="20" t="s">
        <v>3</v>
      </c>
      <c r="E369" s="21" t="s">
        <v>1168</v>
      </c>
      <c r="F369" s="22" t="s">
        <v>1192</v>
      </c>
      <c r="G369" s="23" t="s">
        <v>1193</v>
      </c>
      <c r="H369" s="23" t="s">
        <v>5</v>
      </c>
      <c r="I369" s="52" t="s">
        <v>363</v>
      </c>
      <c r="J369" s="23"/>
      <c r="K369" s="23"/>
      <c r="L369" s="23"/>
      <c r="M369" s="23"/>
      <c r="N369" s="10" t="s">
        <v>94</v>
      </c>
      <c r="O369" s="10" t="s">
        <v>94</v>
      </c>
      <c r="P369" s="10" t="s">
        <v>94</v>
      </c>
      <c r="Q369" s="10" t="s">
        <v>94</v>
      </c>
      <c r="R369" s="11" t="s">
        <v>1651</v>
      </c>
      <c r="S369" s="11" t="s">
        <v>1651</v>
      </c>
      <c r="T369" s="11"/>
      <c r="U369" s="81"/>
    </row>
    <row r="370" spans="2:21" ht="23" x14ac:dyDescent="0.35">
      <c r="B370" s="60"/>
      <c r="C370" s="63" t="s">
        <v>1141</v>
      </c>
      <c r="D370" s="20" t="s">
        <v>3</v>
      </c>
      <c r="E370" s="21" t="s">
        <v>1172</v>
      </c>
      <c r="F370" s="22" t="s">
        <v>1169</v>
      </c>
      <c r="G370" s="23" t="s">
        <v>1180</v>
      </c>
      <c r="H370" s="23" t="s">
        <v>5</v>
      </c>
      <c r="I370" s="52" t="s">
        <v>363</v>
      </c>
      <c r="J370" s="23"/>
      <c r="K370" s="23"/>
      <c r="L370" s="23"/>
      <c r="M370" s="23"/>
      <c r="N370" s="10" t="s">
        <v>94</v>
      </c>
      <c r="O370" s="10" t="s">
        <v>94</v>
      </c>
      <c r="P370" s="10" t="s">
        <v>94</v>
      </c>
      <c r="Q370" s="10" t="s">
        <v>94</v>
      </c>
      <c r="R370" s="11" t="s">
        <v>1651</v>
      </c>
      <c r="S370" s="11" t="s">
        <v>1651</v>
      </c>
      <c r="T370" s="11"/>
      <c r="U370" s="81"/>
    </row>
    <row r="371" spans="2:21" x14ac:dyDescent="0.35">
      <c r="B371" s="60"/>
      <c r="C371" s="63" t="s">
        <v>1141</v>
      </c>
      <c r="D371" s="16" t="s">
        <v>2</v>
      </c>
      <c r="E371" s="17" t="s">
        <v>304</v>
      </c>
      <c r="F371" s="18" t="s">
        <v>305</v>
      </c>
      <c r="G371" s="19" t="s">
        <v>306</v>
      </c>
      <c r="H371" s="19" t="s">
        <v>5</v>
      </c>
      <c r="I371" s="51"/>
      <c r="J371" s="19"/>
      <c r="K371" s="19"/>
      <c r="L371" s="19"/>
      <c r="M371" s="19"/>
      <c r="N371" s="10" t="s">
        <v>79</v>
      </c>
      <c r="O371" s="10" t="s">
        <v>79</v>
      </c>
      <c r="P371" s="10" t="s">
        <v>79</v>
      </c>
      <c r="Q371" s="10" t="s">
        <v>79</v>
      </c>
      <c r="R371" s="11" t="s">
        <v>79</v>
      </c>
      <c r="S371" s="11" t="s">
        <v>79</v>
      </c>
      <c r="T371" s="11"/>
      <c r="U371" s="81"/>
    </row>
    <row r="372" spans="2:21" ht="23" x14ac:dyDescent="0.35">
      <c r="B372" s="60"/>
      <c r="C372" s="63" t="s">
        <v>1141</v>
      </c>
      <c r="D372" s="20" t="s">
        <v>3</v>
      </c>
      <c r="E372" s="21" t="s">
        <v>1176</v>
      </c>
      <c r="F372" s="22" t="s">
        <v>1178</v>
      </c>
      <c r="G372" s="23" t="s">
        <v>1181</v>
      </c>
      <c r="H372" s="23" t="s">
        <v>5</v>
      </c>
      <c r="I372" s="52" t="s">
        <v>363</v>
      </c>
      <c r="J372" s="23"/>
      <c r="K372" s="23"/>
      <c r="L372" s="23"/>
      <c r="M372" s="23"/>
      <c r="N372" s="10" t="s">
        <v>79</v>
      </c>
      <c r="O372" s="10" t="s">
        <v>79</v>
      </c>
      <c r="P372" s="10" t="s">
        <v>79</v>
      </c>
      <c r="Q372" s="10" t="s">
        <v>79</v>
      </c>
      <c r="R372" s="11" t="s">
        <v>79</v>
      </c>
      <c r="S372" s="11" t="s">
        <v>79</v>
      </c>
      <c r="T372" s="11"/>
      <c r="U372" s="81"/>
    </row>
    <row r="373" spans="2:21" ht="23" x14ac:dyDescent="0.35">
      <c r="B373" s="60"/>
      <c r="C373" s="63" t="s">
        <v>1141</v>
      </c>
      <c r="D373" s="20" t="s">
        <v>3</v>
      </c>
      <c r="E373" s="21" t="s">
        <v>1177</v>
      </c>
      <c r="F373" s="22" t="s">
        <v>1179</v>
      </c>
      <c r="G373" s="23" t="s">
        <v>1182</v>
      </c>
      <c r="H373" s="23" t="s">
        <v>5</v>
      </c>
      <c r="I373" s="52" t="s">
        <v>361</v>
      </c>
      <c r="J373" s="23"/>
      <c r="K373" s="23"/>
      <c r="L373" s="23"/>
      <c r="M373" s="23"/>
      <c r="N373" s="10" t="s">
        <v>79</v>
      </c>
      <c r="O373" s="10" t="s">
        <v>79</v>
      </c>
      <c r="P373" s="10" t="s">
        <v>79</v>
      </c>
      <c r="Q373" s="10" t="s">
        <v>79</v>
      </c>
      <c r="R373" s="11" t="s">
        <v>79</v>
      </c>
      <c r="S373" s="11" t="s">
        <v>79</v>
      </c>
      <c r="T373" s="11"/>
      <c r="U373" s="81"/>
    </row>
    <row r="374" spans="2:21" ht="46" x14ac:dyDescent="0.35">
      <c r="B374" s="60"/>
      <c r="C374" s="63" t="s">
        <v>43</v>
      </c>
      <c r="D374" s="16" t="s">
        <v>2</v>
      </c>
      <c r="E374" s="17" t="s">
        <v>307</v>
      </c>
      <c r="F374" s="18" t="s">
        <v>308</v>
      </c>
      <c r="G374" s="19" t="s">
        <v>309</v>
      </c>
      <c r="H374" s="116" t="str">
        <f>"Decision 
If yes, proceed to step "&amp;E375&amp;" 
If no, proceed to "&amp;E366&amp;""</f>
        <v>Decision 
If yes, proceed to step 6.2.8 
If no, proceed to 6.2.5</v>
      </c>
      <c r="I374" s="51" t="s">
        <v>363</v>
      </c>
      <c r="J374" s="19"/>
      <c r="K374" s="19"/>
      <c r="L374" s="19"/>
      <c r="M374" s="19"/>
      <c r="N374" s="10" t="s">
        <v>79</v>
      </c>
      <c r="O374" s="10" t="s">
        <v>79</v>
      </c>
      <c r="P374" s="10" t="s">
        <v>79</v>
      </c>
      <c r="Q374" s="10" t="s">
        <v>79</v>
      </c>
      <c r="R374" s="11" t="s">
        <v>79</v>
      </c>
      <c r="S374" s="11" t="s">
        <v>79</v>
      </c>
      <c r="T374" s="11" t="s">
        <v>1651</v>
      </c>
      <c r="U374" s="81"/>
    </row>
    <row r="375" spans="2:21" ht="34.5" x14ac:dyDescent="0.35">
      <c r="B375" s="60"/>
      <c r="C375" s="63" t="s">
        <v>43</v>
      </c>
      <c r="D375" s="16" t="s">
        <v>2</v>
      </c>
      <c r="E375" s="17" t="s">
        <v>310</v>
      </c>
      <c r="F375" s="18" t="s">
        <v>311</v>
      </c>
      <c r="G375" s="19" t="s">
        <v>312</v>
      </c>
      <c r="H375" s="19" t="s">
        <v>5</v>
      </c>
      <c r="I375" s="51" t="s">
        <v>363</v>
      </c>
      <c r="J375" s="19"/>
      <c r="K375" s="19"/>
      <c r="L375" s="19"/>
      <c r="M375" s="19"/>
      <c r="N375" s="10" t="s">
        <v>79</v>
      </c>
      <c r="O375" s="10" t="s">
        <v>79</v>
      </c>
      <c r="P375" s="10" t="s">
        <v>79</v>
      </c>
      <c r="Q375" s="10" t="s">
        <v>79</v>
      </c>
      <c r="R375" s="11" t="s">
        <v>79</v>
      </c>
      <c r="S375" s="11" t="s">
        <v>79</v>
      </c>
      <c r="T375" s="11" t="s">
        <v>1651</v>
      </c>
      <c r="U375" s="81"/>
    </row>
    <row r="376" spans="2:21" ht="34.5" x14ac:dyDescent="0.35">
      <c r="B376" s="60"/>
      <c r="C376" s="63" t="s">
        <v>43</v>
      </c>
      <c r="D376" s="20" t="s">
        <v>3</v>
      </c>
      <c r="E376" s="21" t="s">
        <v>1183</v>
      </c>
      <c r="F376" s="22" t="s">
        <v>1188</v>
      </c>
      <c r="G376" s="23" t="s">
        <v>1189</v>
      </c>
      <c r="H376" s="23" t="s">
        <v>5</v>
      </c>
      <c r="I376" s="52" t="s">
        <v>363</v>
      </c>
      <c r="J376" s="23"/>
      <c r="K376" s="23"/>
      <c r="L376" s="23"/>
      <c r="M376" s="23"/>
      <c r="N376" s="10" t="s">
        <v>79</v>
      </c>
      <c r="O376" s="10" t="s">
        <v>79</v>
      </c>
      <c r="P376" s="10" t="s">
        <v>79</v>
      </c>
      <c r="Q376" s="10" t="s">
        <v>79</v>
      </c>
      <c r="R376" s="11" t="s">
        <v>79</v>
      </c>
      <c r="S376" s="11" t="s">
        <v>79</v>
      </c>
      <c r="T376" s="11"/>
      <c r="U376" s="81"/>
    </row>
    <row r="377" spans="2:21" ht="34.5" x14ac:dyDescent="0.35">
      <c r="B377" s="60"/>
      <c r="C377" s="63" t="s">
        <v>43</v>
      </c>
      <c r="D377" s="20" t="s">
        <v>3</v>
      </c>
      <c r="E377" s="21" t="s">
        <v>1184</v>
      </c>
      <c r="F377" s="22" t="s">
        <v>1186</v>
      </c>
      <c r="G377" s="23" t="s">
        <v>1190</v>
      </c>
      <c r="H377" s="23" t="s">
        <v>5</v>
      </c>
      <c r="I377" s="52" t="s">
        <v>363</v>
      </c>
      <c r="J377" s="23"/>
      <c r="K377" s="23"/>
      <c r="L377" s="23"/>
      <c r="M377" s="23"/>
      <c r="N377" s="10" t="s">
        <v>79</v>
      </c>
      <c r="O377" s="10" t="s">
        <v>79</v>
      </c>
      <c r="P377" s="10" t="s">
        <v>79</v>
      </c>
      <c r="Q377" s="10" t="s">
        <v>79</v>
      </c>
      <c r="R377" s="11" t="s">
        <v>79</v>
      </c>
      <c r="S377" s="11" t="s">
        <v>79</v>
      </c>
      <c r="T377" s="11" t="s">
        <v>1651</v>
      </c>
      <c r="U377" s="81"/>
    </row>
    <row r="378" spans="2:21" ht="34.5" x14ac:dyDescent="0.35">
      <c r="B378" s="60"/>
      <c r="C378" s="63" t="s">
        <v>43</v>
      </c>
      <c r="D378" s="20" t="s">
        <v>3</v>
      </c>
      <c r="E378" s="21" t="s">
        <v>1185</v>
      </c>
      <c r="F378" s="22" t="s">
        <v>1187</v>
      </c>
      <c r="G378" s="23" t="s">
        <v>1191</v>
      </c>
      <c r="H378" s="23" t="s">
        <v>5</v>
      </c>
      <c r="I378" s="52" t="s">
        <v>363</v>
      </c>
      <c r="J378" s="23"/>
      <c r="K378" s="23"/>
      <c r="L378" s="23"/>
      <c r="M378" s="23"/>
      <c r="N378" s="10" t="s">
        <v>79</v>
      </c>
      <c r="O378" s="10" t="s">
        <v>79</v>
      </c>
      <c r="P378" s="10" t="s">
        <v>79</v>
      </c>
      <c r="Q378" s="10" t="s">
        <v>79</v>
      </c>
      <c r="R378" s="11" t="s">
        <v>79</v>
      </c>
      <c r="S378" s="11" t="s">
        <v>79</v>
      </c>
      <c r="T378" s="11" t="s">
        <v>1651</v>
      </c>
      <c r="U378" s="81"/>
    </row>
    <row r="379" spans="2:21" ht="92" x14ac:dyDescent="0.35">
      <c r="B379" s="60"/>
      <c r="C379" s="63" t="s">
        <v>43</v>
      </c>
      <c r="D379" s="12" t="s">
        <v>1</v>
      </c>
      <c r="E379" s="13" t="s">
        <v>313</v>
      </c>
      <c r="F379" s="14" t="s">
        <v>314</v>
      </c>
      <c r="G379" s="15" t="s">
        <v>315</v>
      </c>
      <c r="H379" s="15" t="s">
        <v>5</v>
      </c>
      <c r="I379" s="50"/>
      <c r="J379" s="15" t="s">
        <v>821</v>
      </c>
      <c r="K379" s="15" t="s">
        <v>820</v>
      </c>
      <c r="L379" s="15" t="s">
        <v>822</v>
      </c>
      <c r="M379" s="15" t="s">
        <v>823</v>
      </c>
      <c r="N379" s="10" t="s">
        <v>94</v>
      </c>
      <c r="O379" s="10" t="s">
        <v>94</v>
      </c>
      <c r="P379" s="10" t="s">
        <v>94</v>
      </c>
      <c r="Q379" s="10" t="s">
        <v>94</v>
      </c>
      <c r="R379" s="11" t="s">
        <v>1004</v>
      </c>
      <c r="S379" s="11" t="s">
        <v>1004</v>
      </c>
      <c r="T379" s="11"/>
      <c r="U379" s="81"/>
    </row>
    <row r="380" spans="2:21" ht="57.5" x14ac:dyDescent="0.35">
      <c r="B380" s="60"/>
      <c r="C380" s="63" t="s">
        <v>43</v>
      </c>
      <c r="D380" s="16" t="s">
        <v>2</v>
      </c>
      <c r="E380" s="17" t="s">
        <v>316</v>
      </c>
      <c r="F380" s="18" t="s">
        <v>317</v>
      </c>
      <c r="G380" s="19" t="s">
        <v>318</v>
      </c>
      <c r="H380" s="19" t="s">
        <v>5</v>
      </c>
      <c r="I380" s="51"/>
      <c r="J380" s="19" t="s">
        <v>825</v>
      </c>
      <c r="K380" s="19" t="s">
        <v>824</v>
      </c>
      <c r="L380" s="19" t="s">
        <v>826</v>
      </c>
      <c r="M380" s="19" t="s">
        <v>827</v>
      </c>
      <c r="N380" s="10" t="s">
        <v>94</v>
      </c>
      <c r="O380" s="10" t="s">
        <v>94</v>
      </c>
      <c r="P380" s="10" t="s">
        <v>94</v>
      </c>
      <c r="Q380" s="10" t="s">
        <v>94</v>
      </c>
      <c r="R380" s="11" t="s">
        <v>1004</v>
      </c>
      <c r="S380" s="11" t="s">
        <v>1004</v>
      </c>
      <c r="T380" s="11"/>
      <c r="U380" s="81"/>
    </row>
    <row r="381" spans="2:21" ht="46" x14ac:dyDescent="0.35">
      <c r="B381" s="60"/>
      <c r="C381" s="63" t="s">
        <v>43</v>
      </c>
      <c r="D381" s="20" t="s">
        <v>3</v>
      </c>
      <c r="E381" s="21" t="s">
        <v>1061</v>
      </c>
      <c r="F381" s="22" t="s">
        <v>1065</v>
      </c>
      <c r="G381" s="23" t="s">
        <v>1066</v>
      </c>
      <c r="H381" s="23" t="s">
        <v>5</v>
      </c>
      <c r="I381" s="52" t="s">
        <v>361</v>
      </c>
      <c r="J381" s="23" t="s">
        <v>1227</v>
      </c>
      <c r="K381" s="23" t="s">
        <v>1228</v>
      </c>
      <c r="L381" s="23" t="s">
        <v>1229</v>
      </c>
      <c r="M381" s="23" t="s">
        <v>1230</v>
      </c>
      <c r="N381" s="10" t="s">
        <v>94</v>
      </c>
      <c r="O381" s="10" t="s">
        <v>94</v>
      </c>
      <c r="P381" s="10" t="s">
        <v>94</v>
      </c>
      <c r="Q381" s="10" t="s">
        <v>94</v>
      </c>
      <c r="R381" s="11" t="s">
        <v>1004</v>
      </c>
      <c r="S381" s="11" t="s">
        <v>1004</v>
      </c>
      <c r="T381" s="11"/>
      <c r="U381" s="81"/>
    </row>
    <row r="382" spans="2:21" ht="46" x14ac:dyDescent="0.35">
      <c r="B382" s="60"/>
      <c r="C382" s="63" t="s">
        <v>1068</v>
      </c>
      <c r="D382" s="20" t="s">
        <v>3</v>
      </c>
      <c r="E382" s="21" t="s">
        <v>1062</v>
      </c>
      <c r="F382" s="22" t="s">
        <v>1067</v>
      </c>
      <c r="G382" s="23" t="s">
        <v>1070</v>
      </c>
      <c r="H382" s="23" t="s">
        <v>5</v>
      </c>
      <c r="I382" s="52" t="s">
        <v>363</v>
      </c>
      <c r="J382" s="23" t="s">
        <v>1231</v>
      </c>
      <c r="K382" s="23" t="s">
        <v>1232</v>
      </c>
      <c r="L382" s="23" t="s">
        <v>1233</v>
      </c>
      <c r="M382" s="23" t="s">
        <v>1234</v>
      </c>
      <c r="N382" s="10" t="s">
        <v>94</v>
      </c>
      <c r="O382" s="10" t="s">
        <v>94</v>
      </c>
      <c r="P382" s="10" t="s">
        <v>94</v>
      </c>
      <c r="Q382" s="10" t="s">
        <v>94</v>
      </c>
      <c r="R382" s="11" t="s">
        <v>1004</v>
      </c>
      <c r="S382" s="11" t="s">
        <v>1004</v>
      </c>
      <c r="T382" s="11"/>
      <c r="U382" s="81"/>
    </row>
    <row r="383" spans="2:21" ht="46" x14ac:dyDescent="0.35">
      <c r="B383" s="60"/>
      <c r="C383" s="63" t="s">
        <v>1064</v>
      </c>
      <c r="D383" s="20" t="s">
        <v>3</v>
      </c>
      <c r="E383" s="21" t="s">
        <v>1063</v>
      </c>
      <c r="F383" s="22" t="s">
        <v>1071</v>
      </c>
      <c r="G383" s="23" t="s">
        <v>1069</v>
      </c>
      <c r="H383" s="23" t="s">
        <v>5</v>
      </c>
      <c r="I383" s="52" t="s">
        <v>363</v>
      </c>
      <c r="J383" s="23" t="s">
        <v>1231</v>
      </c>
      <c r="K383" s="23" t="s">
        <v>1232</v>
      </c>
      <c r="L383" s="23" t="s">
        <v>1233</v>
      </c>
      <c r="M383" s="23" t="s">
        <v>1234</v>
      </c>
      <c r="N383" s="10" t="s">
        <v>94</v>
      </c>
      <c r="O383" s="10" t="s">
        <v>94</v>
      </c>
      <c r="P383" s="10" t="s">
        <v>94</v>
      </c>
      <c r="Q383" s="10" t="s">
        <v>94</v>
      </c>
      <c r="R383" s="11" t="s">
        <v>1004</v>
      </c>
      <c r="S383" s="11" t="s">
        <v>1004</v>
      </c>
      <c r="T383" s="11"/>
      <c r="U383" s="81"/>
    </row>
    <row r="384" spans="2:21" ht="23" x14ac:dyDescent="0.35">
      <c r="B384" s="60"/>
      <c r="C384" s="63" t="s">
        <v>1083</v>
      </c>
      <c r="D384" s="16" t="s">
        <v>2</v>
      </c>
      <c r="E384" s="17" t="s">
        <v>319</v>
      </c>
      <c r="F384" s="18" t="s">
        <v>320</v>
      </c>
      <c r="G384" s="19" t="s">
        <v>321</v>
      </c>
      <c r="H384" s="19" t="s">
        <v>5</v>
      </c>
      <c r="I384" s="51"/>
      <c r="J384" s="19"/>
      <c r="K384" s="19"/>
      <c r="L384" s="19"/>
      <c r="M384" s="19"/>
      <c r="N384" s="10" t="s">
        <v>94</v>
      </c>
      <c r="O384" s="10" t="s">
        <v>94</v>
      </c>
      <c r="P384" s="10" t="s">
        <v>94</v>
      </c>
      <c r="Q384" s="10" t="s">
        <v>94</v>
      </c>
      <c r="R384" s="11" t="s">
        <v>1004</v>
      </c>
      <c r="S384" s="11" t="s">
        <v>1004</v>
      </c>
      <c r="T384" s="11"/>
      <c r="U384" s="81"/>
    </row>
    <row r="385" spans="2:21" ht="23" x14ac:dyDescent="0.35">
      <c r="B385" s="60"/>
      <c r="C385" s="63" t="s">
        <v>1083</v>
      </c>
      <c r="D385" s="20" t="s">
        <v>3</v>
      </c>
      <c r="E385" s="21" t="s">
        <v>1072</v>
      </c>
      <c r="F385" s="22" t="s">
        <v>1074</v>
      </c>
      <c r="G385" s="23" t="s">
        <v>1073</v>
      </c>
      <c r="H385" s="23" t="s">
        <v>5</v>
      </c>
      <c r="I385" s="52" t="s">
        <v>363</v>
      </c>
      <c r="J385" s="23"/>
      <c r="K385" s="23"/>
      <c r="L385" s="23"/>
      <c r="M385" s="23"/>
      <c r="N385" s="10" t="s">
        <v>94</v>
      </c>
      <c r="O385" s="10" t="s">
        <v>94</v>
      </c>
      <c r="P385" s="10" t="s">
        <v>94</v>
      </c>
      <c r="Q385" s="10" t="s">
        <v>94</v>
      </c>
      <c r="R385" s="11" t="s">
        <v>364</v>
      </c>
      <c r="S385" s="11" t="s">
        <v>1004</v>
      </c>
      <c r="T385" s="11"/>
      <c r="U385" s="81"/>
    </row>
    <row r="386" spans="2:21" ht="34.5" x14ac:dyDescent="0.35">
      <c r="B386" s="60"/>
      <c r="C386" s="63" t="s">
        <v>1068</v>
      </c>
      <c r="D386" s="20" t="s">
        <v>3</v>
      </c>
      <c r="E386" s="21" t="s">
        <v>1075</v>
      </c>
      <c r="F386" s="22" t="s">
        <v>1081</v>
      </c>
      <c r="G386" s="23" t="s">
        <v>1080</v>
      </c>
      <c r="H386" s="23" t="s">
        <v>5</v>
      </c>
      <c r="I386" s="52" t="s">
        <v>363</v>
      </c>
      <c r="J386" s="23"/>
      <c r="K386" s="23"/>
      <c r="L386" s="23"/>
      <c r="M386" s="23"/>
      <c r="N386" s="10" t="s">
        <v>94</v>
      </c>
      <c r="O386" s="10" t="s">
        <v>94</v>
      </c>
      <c r="P386" s="10" t="s">
        <v>94</v>
      </c>
      <c r="Q386" s="10" t="s">
        <v>94</v>
      </c>
      <c r="R386" s="11" t="s">
        <v>1004</v>
      </c>
      <c r="S386" s="11" t="s">
        <v>1004</v>
      </c>
      <c r="T386" s="11"/>
      <c r="U386" s="81"/>
    </row>
    <row r="387" spans="2:21" ht="34.5" x14ac:dyDescent="0.35">
      <c r="B387" s="60"/>
      <c r="C387" s="63" t="s">
        <v>1064</v>
      </c>
      <c r="D387" s="20" t="s">
        <v>3</v>
      </c>
      <c r="E387" s="21" t="s">
        <v>1078</v>
      </c>
      <c r="F387" s="22" t="s">
        <v>1082</v>
      </c>
      <c r="G387" s="23" t="s">
        <v>1084</v>
      </c>
      <c r="H387" s="23" t="s">
        <v>5</v>
      </c>
      <c r="I387" s="52" t="s">
        <v>363</v>
      </c>
      <c r="J387" s="23"/>
      <c r="K387" s="23"/>
      <c r="L387" s="23"/>
      <c r="M387" s="23"/>
      <c r="N387" s="10" t="s">
        <v>94</v>
      </c>
      <c r="O387" s="10" t="s">
        <v>94</v>
      </c>
      <c r="P387" s="10" t="s">
        <v>94</v>
      </c>
      <c r="Q387" s="10" t="s">
        <v>94</v>
      </c>
      <c r="R387" s="11" t="s">
        <v>1004</v>
      </c>
      <c r="S387" s="11" t="s">
        <v>1004</v>
      </c>
      <c r="T387" s="11"/>
      <c r="U387" s="81"/>
    </row>
    <row r="388" spans="2:21" ht="23" x14ac:dyDescent="0.35">
      <c r="B388" s="60"/>
      <c r="C388" s="63" t="s">
        <v>1083</v>
      </c>
      <c r="D388" s="20" t="s">
        <v>3</v>
      </c>
      <c r="E388" s="21" t="s">
        <v>1079</v>
      </c>
      <c r="F388" s="22" t="s">
        <v>1076</v>
      </c>
      <c r="G388" s="23" t="s">
        <v>1077</v>
      </c>
      <c r="H388" s="23" t="s">
        <v>5</v>
      </c>
      <c r="I388" s="52" t="s">
        <v>363</v>
      </c>
      <c r="J388" s="23"/>
      <c r="K388" s="23"/>
      <c r="L388" s="23"/>
      <c r="M388" s="23"/>
      <c r="N388" s="10" t="s">
        <v>94</v>
      </c>
      <c r="O388" s="10" t="s">
        <v>94</v>
      </c>
      <c r="P388" s="10" t="s">
        <v>94</v>
      </c>
      <c r="Q388" s="10" t="s">
        <v>94</v>
      </c>
      <c r="R388" s="11" t="s">
        <v>1004</v>
      </c>
      <c r="S388" s="11" t="s">
        <v>1004</v>
      </c>
      <c r="T388" s="11"/>
      <c r="U388" s="81"/>
    </row>
    <row r="389" spans="2:21" ht="92" x14ac:dyDescent="0.35">
      <c r="B389" s="60"/>
      <c r="C389" s="63" t="s">
        <v>43</v>
      </c>
      <c r="D389" s="16" t="s">
        <v>2</v>
      </c>
      <c r="E389" s="17" t="s">
        <v>322</v>
      </c>
      <c r="F389" s="18" t="s">
        <v>323</v>
      </c>
      <c r="G389" s="19" t="s">
        <v>324</v>
      </c>
      <c r="H389" s="19" t="s">
        <v>5</v>
      </c>
      <c r="I389" s="51"/>
      <c r="J389" s="19" t="s">
        <v>829</v>
      </c>
      <c r="K389" s="19" t="s">
        <v>828</v>
      </c>
      <c r="L389" s="19" t="s">
        <v>830</v>
      </c>
      <c r="M389" s="19" t="s">
        <v>401</v>
      </c>
      <c r="N389" s="10" t="s">
        <v>94</v>
      </c>
      <c r="O389" s="10" t="s">
        <v>94</v>
      </c>
      <c r="P389" s="10" t="s">
        <v>94</v>
      </c>
      <c r="Q389" s="10" t="s">
        <v>94</v>
      </c>
      <c r="R389" s="11" t="s">
        <v>1004</v>
      </c>
      <c r="S389" s="11" t="s">
        <v>1004</v>
      </c>
      <c r="T389" s="11"/>
      <c r="U389" s="81"/>
    </row>
    <row r="390" spans="2:21" ht="46" x14ac:dyDescent="0.35">
      <c r="B390" s="60"/>
      <c r="C390" s="63" t="s">
        <v>1068</v>
      </c>
      <c r="D390" s="20" t="s">
        <v>3</v>
      </c>
      <c r="E390" s="21" t="s">
        <v>1087</v>
      </c>
      <c r="F390" s="22" t="s">
        <v>1091</v>
      </c>
      <c r="G390" s="23" t="s">
        <v>1093</v>
      </c>
      <c r="H390" s="23" t="s">
        <v>5</v>
      </c>
      <c r="I390" s="52" t="s">
        <v>363</v>
      </c>
      <c r="J390" s="23" t="s">
        <v>829</v>
      </c>
      <c r="K390" s="23" t="s">
        <v>1235</v>
      </c>
      <c r="L390" s="23" t="s">
        <v>1236</v>
      </c>
      <c r="M390" s="23" t="s">
        <v>1237</v>
      </c>
      <c r="N390" s="10" t="s">
        <v>94</v>
      </c>
      <c r="O390" s="10" t="s">
        <v>94</v>
      </c>
      <c r="P390" s="10" t="s">
        <v>94</v>
      </c>
      <c r="Q390" s="10" t="s">
        <v>94</v>
      </c>
      <c r="R390" s="11" t="s">
        <v>1004</v>
      </c>
      <c r="S390" s="11" t="s">
        <v>1004</v>
      </c>
      <c r="T390" s="11"/>
      <c r="U390" s="81"/>
    </row>
    <row r="391" spans="2:21" ht="46" x14ac:dyDescent="0.35">
      <c r="B391" s="60"/>
      <c r="C391" s="63" t="s">
        <v>1064</v>
      </c>
      <c r="D391" s="20" t="s">
        <v>3</v>
      </c>
      <c r="E391" s="21" t="s">
        <v>1088</v>
      </c>
      <c r="F391" s="22" t="s">
        <v>1092</v>
      </c>
      <c r="G391" s="23" t="s">
        <v>1094</v>
      </c>
      <c r="H391" s="23" t="s">
        <v>5</v>
      </c>
      <c r="I391" s="52" t="s">
        <v>363</v>
      </c>
      <c r="J391" s="23" t="s">
        <v>829</v>
      </c>
      <c r="K391" s="23" t="s">
        <v>1235</v>
      </c>
      <c r="L391" s="23" t="s">
        <v>1236</v>
      </c>
      <c r="M391" s="23" t="s">
        <v>1237</v>
      </c>
      <c r="N391" s="10" t="s">
        <v>94</v>
      </c>
      <c r="O391" s="10" t="s">
        <v>94</v>
      </c>
      <c r="P391" s="10" t="s">
        <v>94</v>
      </c>
      <c r="Q391" s="10" t="s">
        <v>94</v>
      </c>
      <c r="R391" s="11" t="s">
        <v>1004</v>
      </c>
      <c r="S391" s="11" t="s">
        <v>1004</v>
      </c>
      <c r="T391" s="11"/>
      <c r="U391" s="81"/>
    </row>
    <row r="392" spans="2:21" ht="23" x14ac:dyDescent="0.35">
      <c r="B392" s="60"/>
      <c r="C392" s="63" t="s">
        <v>1083</v>
      </c>
      <c r="D392" s="20" t="s">
        <v>3</v>
      </c>
      <c r="E392" s="21" t="s">
        <v>1089</v>
      </c>
      <c r="F392" s="22" t="s">
        <v>1085</v>
      </c>
      <c r="G392" s="23" t="s">
        <v>1096</v>
      </c>
      <c r="H392" s="23" t="s">
        <v>5</v>
      </c>
      <c r="I392" s="52" t="s">
        <v>363</v>
      </c>
      <c r="J392" s="23"/>
      <c r="K392" s="23"/>
      <c r="L392" s="23"/>
      <c r="M392" s="23"/>
      <c r="N392" s="10" t="s">
        <v>94</v>
      </c>
      <c r="O392" s="10" t="s">
        <v>94</v>
      </c>
      <c r="P392" s="10" t="s">
        <v>94</v>
      </c>
      <c r="Q392" s="10" t="s">
        <v>94</v>
      </c>
      <c r="R392" s="11" t="s">
        <v>1004</v>
      </c>
      <c r="S392" s="11" t="s">
        <v>1004</v>
      </c>
      <c r="T392" s="11"/>
      <c r="U392" s="81"/>
    </row>
    <row r="393" spans="2:21" ht="23" x14ac:dyDescent="0.35">
      <c r="B393" s="60"/>
      <c r="C393" s="63" t="s">
        <v>1083</v>
      </c>
      <c r="D393" s="20" t="s">
        <v>3</v>
      </c>
      <c r="E393" s="21" t="s">
        <v>1090</v>
      </c>
      <c r="F393" s="22" t="s">
        <v>1086</v>
      </c>
      <c r="G393" s="23" t="s">
        <v>1095</v>
      </c>
      <c r="H393" s="23" t="s">
        <v>5</v>
      </c>
      <c r="I393" s="52" t="s">
        <v>363</v>
      </c>
      <c r="J393" s="23"/>
      <c r="K393" s="23"/>
      <c r="L393" s="23"/>
      <c r="M393" s="23"/>
      <c r="N393" s="10" t="s">
        <v>94</v>
      </c>
      <c r="O393" s="10" t="s">
        <v>94</v>
      </c>
      <c r="P393" s="10" t="s">
        <v>94</v>
      </c>
      <c r="Q393" s="10" t="s">
        <v>94</v>
      </c>
      <c r="R393" s="11" t="s">
        <v>1004</v>
      </c>
      <c r="S393" s="11" t="s">
        <v>1004</v>
      </c>
      <c r="T393" s="11"/>
      <c r="U393" s="81"/>
    </row>
    <row r="394" spans="2:21" ht="57.5" x14ac:dyDescent="0.35">
      <c r="B394" s="60"/>
      <c r="C394" s="63" t="s">
        <v>1332</v>
      </c>
      <c r="D394" s="6" t="s">
        <v>0</v>
      </c>
      <c r="E394" s="7" t="s">
        <v>1315</v>
      </c>
      <c r="F394" s="8" t="s">
        <v>1314</v>
      </c>
      <c r="G394" s="9" t="s">
        <v>1330</v>
      </c>
      <c r="H394" s="9" t="s">
        <v>5</v>
      </c>
      <c r="I394" s="49" t="s">
        <v>363</v>
      </c>
      <c r="J394" s="9"/>
      <c r="K394" s="9"/>
      <c r="L394" s="9"/>
      <c r="M394" s="9"/>
      <c r="N394" s="10"/>
      <c r="O394" s="10"/>
      <c r="P394" s="10"/>
      <c r="Q394" s="10"/>
      <c r="R394" s="11" t="s">
        <v>79</v>
      </c>
      <c r="S394" s="11" t="s">
        <v>79</v>
      </c>
      <c r="T394" s="11" t="s">
        <v>1651</v>
      </c>
      <c r="U394" s="80"/>
    </row>
    <row r="395" spans="2:21" ht="46" x14ac:dyDescent="0.35">
      <c r="B395" s="60"/>
      <c r="C395" s="63" t="s">
        <v>1332</v>
      </c>
      <c r="D395" s="12" t="s">
        <v>1</v>
      </c>
      <c r="E395" s="13" t="s">
        <v>1316</v>
      </c>
      <c r="F395" s="14" t="s">
        <v>1317</v>
      </c>
      <c r="G395" s="15" t="s">
        <v>1320</v>
      </c>
      <c r="H395" s="15" t="s">
        <v>5</v>
      </c>
      <c r="I395" s="50" t="s">
        <v>363</v>
      </c>
      <c r="J395" s="15"/>
      <c r="K395" s="15"/>
      <c r="L395" s="15"/>
      <c r="M395" s="15"/>
      <c r="N395" s="10"/>
      <c r="O395" s="10"/>
      <c r="P395" s="10"/>
      <c r="Q395" s="10"/>
      <c r="R395" s="11" t="s">
        <v>79</v>
      </c>
      <c r="S395" s="11" t="s">
        <v>79</v>
      </c>
      <c r="T395" s="11" t="s">
        <v>1651</v>
      </c>
      <c r="U395" s="81"/>
    </row>
    <row r="396" spans="2:21" ht="46" x14ac:dyDescent="0.35">
      <c r="B396" s="60"/>
      <c r="C396" s="63" t="s">
        <v>43</v>
      </c>
      <c r="D396" s="16" t="s">
        <v>2</v>
      </c>
      <c r="E396" s="17" t="s">
        <v>1321</v>
      </c>
      <c r="F396" s="18" t="s">
        <v>1326</v>
      </c>
      <c r="G396" s="19" t="s">
        <v>1322</v>
      </c>
      <c r="H396" s="19" t="s">
        <v>5</v>
      </c>
      <c r="I396" s="51" t="s">
        <v>363</v>
      </c>
      <c r="J396" s="19"/>
      <c r="K396" s="19"/>
      <c r="L396" s="19"/>
      <c r="M396" s="19"/>
      <c r="N396" s="10"/>
      <c r="O396" s="10"/>
      <c r="P396" s="10"/>
      <c r="Q396" s="10"/>
      <c r="R396" s="11" t="s">
        <v>79</v>
      </c>
      <c r="S396" s="11" t="s">
        <v>79</v>
      </c>
      <c r="T396" s="11" t="s">
        <v>1651</v>
      </c>
      <c r="U396" s="81"/>
    </row>
    <row r="397" spans="2:21" ht="23" x14ac:dyDescent="0.35">
      <c r="B397" s="60"/>
      <c r="C397" s="63" t="s">
        <v>43</v>
      </c>
      <c r="D397" s="20" t="s">
        <v>3</v>
      </c>
      <c r="E397" s="21" t="s">
        <v>1323</v>
      </c>
      <c r="F397" s="22" t="s">
        <v>1336</v>
      </c>
      <c r="G397" s="23" t="s">
        <v>1337</v>
      </c>
      <c r="H397" s="23" t="s">
        <v>5</v>
      </c>
      <c r="I397" s="52" t="s">
        <v>361</v>
      </c>
      <c r="J397" s="23"/>
      <c r="K397" s="23"/>
      <c r="L397" s="23"/>
      <c r="M397" s="23"/>
      <c r="N397" s="10"/>
      <c r="O397" s="10"/>
      <c r="P397" s="10"/>
      <c r="Q397" s="10"/>
      <c r="R397" s="11" t="s">
        <v>79</v>
      </c>
      <c r="S397" s="11" t="s">
        <v>79</v>
      </c>
      <c r="T397" s="11"/>
      <c r="U397" s="81"/>
    </row>
    <row r="398" spans="2:21" x14ac:dyDescent="0.35">
      <c r="B398" s="60"/>
      <c r="C398" s="63" t="s">
        <v>43</v>
      </c>
      <c r="D398" s="20" t="s">
        <v>3</v>
      </c>
      <c r="E398" s="21" t="s">
        <v>1324</v>
      </c>
      <c r="F398" s="22" t="s">
        <v>1338</v>
      </c>
      <c r="G398" s="23" t="s">
        <v>1339</v>
      </c>
      <c r="H398" s="23" t="s">
        <v>5</v>
      </c>
      <c r="I398" s="52" t="s">
        <v>361</v>
      </c>
      <c r="J398" s="23"/>
      <c r="K398" s="23"/>
      <c r="L398" s="23"/>
      <c r="M398" s="23"/>
      <c r="N398" s="10"/>
      <c r="O398" s="10"/>
      <c r="P398" s="10"/>
      <c r="Q398" s="10"/>
      <c r="R398" s="11" t="s">
        <v>79</v>
      </c>
      <c r="S398" s="11" t="s">
        <v>79</v>
      </c>
      <c r="T398" s="11"/>
      <c r="U398" s="81"/>
    </row>
    <row r="399" spans="2:21" ht="46" x14ac:dyDescent="0.35">
      <c r="B399" s="60"/>
      <c r="C399" s="63" t="s">
        <v>43</v>
      </c>
      <c r="D399" s="20" t="s">
        <v>3</v>
      </c>
      <c r="E399" s="21" t="s">
        <v>1325</v>
      </c>
      <c r="F399" s="22" t="s">
        <v>1327</v>
      </c>
      <c r="G399" s="23" t="s">
        <v>1357</v>
      </c>
      <c r="H399" s="23" t="s">
        <v>5</v>
      </c>
      <c r="I399" s="52" t="s">
        <v>361</v>
      </c>
      <c r="J399" s="23"/>
      <c r="K399" s="23"/>
      <c r="L399" s="23"/>
      <c r="M399" s="23"/>
      <c r="N399" s="10"/>
      <c r="O399" s="10"/>
      <c r="P399" s="10"/>
      <c r="Q399" s="10"/>
      <c r="R399" s="11" t="s">
        <v>79</v>
      </c>
      <c r="S399" s="11" t="s">
        <v>79</v>
      </c>
      <c r="T399" s="11"/>
      <c r="U399" s="81"/>
    </row>
    <row r="400" spans="2:21" ht="23" x14ac:dyDescent="0.35">
      <c r="B400" s="60"/>
      <c r="C400" s="63" t="s">
        <v>43</v>
      </c>
      <c r="D400" s="16" t="s">
        <v>2</v>
      </c>
      <c r="E400" s="17" t="s">
        <v>1331</v>
      </c>
      <c r="F400" s="18" t="s">
        <v>1343</v>
      </c>
      <c r="G400" s="19" t="s">
        <v>1344</v>
      </c>
      <c r="H400" s="19" t="s">
        <v>5</v>
      </c>
      <c r="I400" s="51" t="s">
        <v>361</v>
      </c>
      <c r="J400" s="19"/>
      <c r="K400" s="19"/>
      <c r="L400" s="19"/>
      <c r="M400" s="19"/>
      <c r="N400" s="10"/>
      <c r="O400" s="10"/>
      <c r="P400" s="10"/>
      <c r="Q400" s="10"/>
      <c r="R400" s="11" t="s">
        <v>79</v>
      </c>
      <c r="S400" s="11" t="s">
        <v>79</v>
      </c>
      <c r="T400" s="11"/>
      <c r="U400" s="81"/>
    </row>
    <row r="401" spans="2:21" ht="23" x14ac:dyDescent="0.35">
      <c r="B401" s="60"/>
      <c r="C401" s="63" t="s">
        <v>43</v>
      </c>
      <c r="D401" s="20" t="s">
        <v>3</v>
      </c>
      <c r="E401" s="21" t="s">
        <v>1333</v>
      </c>
      <c r="F401" s="22" t="s">
        <v>1340</v>
      </c>
      <c r="G401" s="23" t="s">
        <v>1342</v>
      </c>
      <c r="H401" s="23" t="s">
        <v>5</v>
      </c>
      <c r="I401" s="52" t="s">
        <v>363</v>
      </c>
      <c r="J401" s="23"/>
      <c r="K401" s="23"/>
      <c r="L401" s="23"/>
      <c r="M401" s="23"/>
      <c r="N401" s="10"/>
      <c r="O401" s="10"/>
      <c r="P401" s="10"/>
      <c r="Q401" s="10"/>
      <c r="R401" s="11" t="s">
        <v>79</v>
      </c>
      <c r="S401" s="11" t="s">
        <v>79</v>
      </c>
      <c r="T401" s="11"/>
      <c r="U401" s="81"/>
    </row>
    <row r="402" spans="2:21" ht="34.5" x14ac:dyDescent="0.35">
      <c r="B402" s="60"/>
      <c r="C402" s="63" t="s">
        <v>43</v>
      </c>
      <c r="D402" s="20" t="s">
        <v>3</v>
      </c>
      <c r="E402" s="21" t="s">
        <v>1334</v>
      </c>
      <c r="F402" s="22" t="s">
        <v>1328</v>
      </c>
      <c r="G402" s="23" t="s">
        <v>1358</v>
      </c>
      <c r="H402" s="23" t="s">
        <v>5</v>
      </c>
      <c r="I402" s="52" t="s">
        <v>363</v>
      </c>
      <c r="J402" s="23"/>
      <c r="K402" s="23"/>
      <c r="L402" s="23"/>
      <c r="M402" s="23"/>
      <c r="N402" s="10"/>
      <c r="O402" s="10"/>
      <c r="P402" s="10"/>
      <c r="Q402" s="10"/>
      <c r="R402" s="11" t="s">
        <v>79</v>
      </c>
      <c r="S402" s="11" t="s">
        <v>79</v>
      </c>
      <c r="T402" s="11"/>
      <c r="U402" s="81"/>
    </row>
    <row r="403" spans="2:21" ht="34.5" x14ac:dyDescent="0.35">
      <c r="B403" s="60"/>
      <c r="C403" s="63" t="s">
        <v>43</v>
      </c>
      <c r="D403" s="20" t="s">
        <v>3</v>
      </c>
      <c r="E403" s="21" t="s">
        <v>1335</v>
      </c>
      <c r="F403" s="22" t="s">
        <v>1341</v>
      </c>
      <c r="G403" s="23" t="s">
        <v>1359</v>
      </c>
      <c r="H403" s="23" t="s">
        <v>5</v>
      </c>
      <c r="I403" s="52" t="s">
        <v>363</v>
      </c>
      <c r="J403" s="23"/>
      <c r="K403" s="23"/>
      <c r="L403" s="23"/>
      <c r="M403" s="23"/>
      <c r="N403" s="10"/>
      <c r="O403" s="10"/>
      <c r="P403" s="10"/>
      <c r="Q403" s="10"/>
      <c r="R403" s="11" t="s">
        <v>79</v>
      </c>
      <c r="S403" s="11" t="s">
        <v>79</v>
      </c>
      <c r="T403" s="11" t="s">
        <v>1651</v>
      </c>
      <c r="U403" s="81"/>
    </row>
    <row r="404" spans="2:21" ht="34.5" x14ac:dyDescent="0.35">
      <c r="B404" s="60"/>
      <c r="C404" s="63"/>
      <c r="D404" s="16" t="s">
        <v>2</v>
      </c>
      <c r="E404" s="17" t="s">
        <v>1345</v>
      </c>
      <c r="F404" s="18" t="s">
        <v>1394</v>
      </c>
      <c r="G404" s="19" t="s">
        <v>1395</v>
      </c>
      <c r="H404" s="19" t="s">
        <v>5</v>
      </c>
      <c r="I404" s="51" t="s">
        <v>363</v>
      </c>
      <c r="J404" s="19"/>
      <c r="K404" s="19"/>
      <c r="L404" s="19"/>
      <c r="M404" s="19"/>
      <c r="N404" s="10"/>
      <c r="O404" s="10"/>
      <c r="P404" s="10"/>
      <c r="Q404" s="10"/>
      <c r="R404" s="11" t="s">
        <v>79</v>
      </c>
      <c r="S404" s="11" t="s">
        <v>79</v>
      </c>
      <c r="T404" s="11" t="s">
        <v>1651</v>
      </c>
      <c r="U404" s="81"/>
    </row>
    <row r="405" spans="2:21" ht="34.5" x14ac:dyDescent="0.35">
      <c r="B405" s="60"/>
      <c r="C405" s="63"/>
      <c r="D405" s="20" t="s">
        <v>3</v>
      </c>
      <c r="E405" s="21" t="s">
        <v>1353</v>
      </c>
      <c r="F405" s="22" t="s">
        <v>1396</v>
      </c>
      <c r="G405" s="23" t="s">
        <v>1398</v>
      </c>
      <c r="H405" s="23" t="s">
        <v>5</v>
      </c>
      <c r="I405" s="52" t="s">
        <v>363</v>
      </c>
      <c r="J405" s="23"/>
      <c r="K405" s="23"/>
      <c r="L405" s="23"/>
      <c r="M405" s="23"/>
      <c r="N405" s="10"/>
      <c r="O405" s="10"/>
      <c r="P405" s="10"/>
      <c r="Q405" s="10"/>
      <c r="R405" s="11" t="s">
        <v>79</v>
      </c>
      <c r="S405" s="11" t="s">
        <v>79</v>
      </c>
      <c r="T405" s="11" t="s">
        <v>1651</v>
      </c>
      <c r="U405" s="81"/>
    </row>
    <row r="406" spans="2:21" ht="34.5" x14ac:dyDescent="0.35">
      <c r="B406" s="60"/>
      <c r="C406" s="63"/>
      <c r="D406" s="20" t="s">
        <v>3</v>
      </c>
      <c r="E406" s="21" t="s">
        <v>1354</v>
      </c>
      <c r="F406" s="22" t="s">
        <v>1397</v>
      </c>
      <c r="G406" s="23" t="s">
        <v>1399</v>
      </c>
      <c r="H406" s="23" t="s">
        <v>5</v>
      </c>
      <c r="I406" s="52" t="s">
        <v>363</v>
      </c>
      <c r="J406" s="23"/>
      <c r="K406" s="23"/>
      <c r="L406" s="23"/>
      <c r="M406" s="23"/>
      <c r="N406" s="10"/>
      <c r="O406" s="10"/>
      <c r="P406" s="10"/>
      <c r="Q406" s="10"/>
      <c r="R406" s="11" t="s">
        <v>79</v>
      </c>
      <c r="S406" s="11" t="s">
        <v>79</v>
      </c>
      <c r="T406" s="11" t="s">
        <v>1651</v>
      </c>
      <c r="U406" s="81"/>
    </row>
    <row r="407" spans="2:21" x14ac:dyDescent="0.35">
      <c r="B407" s="60"/>
      <c r="C407" s="63" t="s">
        <v>43</v>
      </c>
      <c r="D407" s="16" t="s">
        <v>2</v>
      </c>
      <c r="E407" s="17" t="s">
        <v>1346</v>
      </c>
      <c r="F407" s="18" t="s">
        <v>1347</v>
      </c>
      <c r="G407" s="19" t="s">
        <v>1350</v>
      </c>
      <c r="H407" s="19" t="s">
        <v>5</v>
      </c>
      <c r="I407" s="51"/>
      <c r="J407" s="19"/>
      <c r="K407" s="19"/>
      <c r="L407" s="19"/>
      <c r="M407" s="19"/>
      <c r="N407" s="10"/>
      <c r="O407" s="10"/>
      <c r="P407" s="10"/>
      <c r="Q407" s="10"/>
      <c r="R407" s="11" t="s">
        <v>79</v>
      </c>
      <c r="S407" s="11" t="s">
        <v>79</v>
      </c>
      <c r="T407" s="11"/>
      <c r="U407" s="81"/>
    </row>
    <row r="408" spans="2:21" x14ac:dyDescent="0.35">
      <c r="B408" s="60"/>
      <c r="C408" s="63" t="s">
        <v>43</v>
      </c>
      <c r="D408" s="20" t="s">
        <v>3</v>
      </c>
      <c r="E408" s="21" t="s">
        <v>1363</v>
      </c>
      <c r="F408" s="22" t="s">
        <v>1356</v>
      </c>
      <c r="G408" s="23" t="s">
        <v>1351</v>
      </c>
      <c r="H408" s="23" t="s">
        <v>5</v>
      </c>
      <c r="I408" s="52" t="s">
        <v>363</v>
      </c>
      <c r="J408" s="23"/>
      <c r="K408" s="23"/>
      <c r="L408" s="23"/>
      <c r="M408" s="23"/>
      <c r="N408" s="10"/>
      <c r="O408" s="10"/>
      <c r="P408" s="10"/>
      <c r="Q408" s="10"/>
      <c r="R408" s="11" t="s">
        <v>79</v>
      </c>
      <c r="S408" s="11" t="s">
        <v>79</v>
      </c>
      <c r="T408" s="11"/>
      <c r="U408" s="81"/>
    </row>
    <row r="409" spans="2:21" ht="23" x14ac:dyDescent="0.35">
      <c r="B409" s="60"/>
      <c r="C409" s="63" t="s">
        <v>43</v>
      </c>
      <c r="D409" s="20" t="s">
        <v>3</v>
      </c>
      <c r="E409" s="21" t="s">
        <v>1364</v>
      </c>
      <c r="F409" s="22" t="s">
        <v>1355</v>
      </c>
      <c r="G409" s="23" t="s">
        <v>1352</v>
      </c>
      <c r="H409" s="23" t="s">
        <v>5</v>
      </c>
      <c r="I409" s="52" t="s">
        <v>363</v>
      </c>
      <c r="J409" s="23"/>
      <c r="K409" s="23"/>
      <c r="L409" s="23"/>
      <c r="M409" s="23"/>
      <c r="N409" s="10"/>
      <c r="O409" s="10"/>
      <c r="P409" s="10"/>
      <c r="Q409" s="10"/>
      <c r="R409" s="11" t="s">
        <v>1651</v>
      </c>
      <c r="S409" s="11" t="s">
        <v>79</v>
      </c>
      <c r="T409" s="11"/>
      <c r="U409" s="81"/>
    </row>
    <row r="410" spans="2:21" x14ac:dyDescent="0.35">
      <c r="B410" s="60"/>
      <c r="C410" s="63" t="s">
        <v>43</v>
      </c>
      <c r="D410" s="16" t="s">
        <v>2</v>
      </c>
      <c r="E410" s="17" t="s">
        <v>1400</v>
      </c>
      <c r="F410" s="18" t="s">
        <v>1348</v>
      </c>
      <c r="G410" s="19" t="s">
        <v>1349</v>
      </c>
      <c r="H410" s="19" t="s">
        <v>5</v>
      </c>
      <c r="I410" s="51"/>
      <c r="J410" s="19"/>
      <c r="K410" s="19"/>
      <c r="L410" s="19"/>
      <c r="M410" s="19"/>
      <c r="N410" s="10"/>
      <c r="O410" s="10"/>
      <c r="P410" s="10"/>
      <c r="Q410" s="10"/>
      <c r="R410" s="11" t="s">
        <v>79</v>
      </c>
      <c r="S410" s="11" t="s">
        <v>79</v>
      </c>
      <c r="T410" s="11"/>
      <c r="U410" s="81"/>
    </row>
    <row r="411" spans="2:21" x14ac:dyDescent="0.35">
      <c r="B411" s="60"/>
      <c r="C411" s="63" t="s">
        <v>96</v>
      </c>
      <c r="D411" s="20" t="s">
        <v>3</v>
      </c>
      <c r="E411" s="21" t="s">
        <v>1401</v>
      </c>
      <c r="F411" s="22" t="s">
        <v>1365</v>
      </c>
      <c r="G411" s="23" t="s">
        <v>1360</v>
      </c>
      <c r="H411" s="23" t="s">
        <v>5</v>
      </c>
      <c r="I411" s="52" t="s">
        <v>363</v>
      </c>
      <c r="J411" s="23"/>
      <c r="K411" s="23"/>
      <c r="L411" s="23"/>
      <c r="M411" s="23"/>
      <c r="N411" s="10"/>
      <c r="O411" s="10"/>
      <c r="P411" s="10"/>
      <c r="Q411" s="10"/>
      <c r="R411" s="11" t="s">
        <v>79</v>
      </c>
      <c r="S411" s="11" t="s">
        <v>79</v>
      </c>
      <c r="T411" s="11"/>
      <c r="U411" s="81"/>
    </row>
    <row r="412" spans="2:21" ht="23" x14ac:dyDescent="0.35">
      <c r="B412" s="60"/>
      <c r="C412" s="63" t="s">
        <v>96</v>
      </c>
      <c r="D412" s="20" t="s">
        <v>3</v>
      </c>
      <c r="E412" s="21" t="s">
        <v>1402</v>
      </c>
      <c r="F412" s="22" t="s">
        <v>1385</v>
      </c>
      <c r="G412" s="23" t="s">
        <v>1386</v>
      </c>
      <c r="H412" s="23" t="s">
        <v>5</v>
      </c>
      <c r="I412" s="52" t="s">
        <v>363</v>
      </c>
      <c r="J412" s="23"/>
      <c r="K412" s="23"/>
      <c r="L412" s="23"/>
      <c r="M412" s="23"/>
      <c r="N412" s="10"/>
      <c r="O412" s="10"/>
      <c r="P412" s="10"/>
      <c r="Q412" s="10"/>
      <c r="R412" s="11" t="s">
        <v>79</v>
      </c>
      <c r="S412" s="11" t="s">
        <v>79</v>
      </c>
      <c r="T412" s="11"/>
      <c r="U412" s="81"/>
    </row>
    <row r="413" spans="2:21" x14ac:dyDescent="0.35">
      <c r="B413" s="60"/>
      <c r="C413" s="63" t="s">
        <v>43</v>
      </c>
      <c r="D413" s="20" t="s">
        <v>3</v>
      </c>
      <c r="E413" s="21" t="s">
        <v>1403</v>
      </c>
      <c r="F413" s="22" t="s">
        <v>1366</v>
      </c>
      <c r="G413" s="23" t="s">
        <v>1361</v>
      </c>
      <c r="H413" s="23" t="s">
        <v>5</v>
      </c>
      <c r="I413" s="52" t="s">
        <v>363</v>
      </c>
      <c r="J413" s="23"/>
      <c r="K413" s="23"/>
      <c r="L413" s="23"/>
      <c r="M413" s="23"/>
      <c r="N413" s="10"/>
      <c r="O413" s="10"/>
      <c r="P413" s="10"/>
      <c r="Q413" s="10"/>
      <c r="R413" s="11" t="s">
        <v>79</v>
      </c>
      <c r="S413" s="11" t="s">
        <v>79</v>
      </c>
      <c r="T413" s="11"/>
      <c r="U413" s="81"/>
    </row>
    <row r="414" spans="2:21" x14ac:dyDescent="0.35">
      <c r="B414" s="60"/>
      <c r="C414" s="63" t="s">
        <v>43</v>
      </c>
      <c r="D414" s="20" t="s">
        <v>3</v>
      </c>
      <c r="E414" s="21" t="s">
        <v>1404</v>
      </c>
      <c r="F414" s="22" t="s">
        <v>1367</v>
      </c>
      <c r="G414" s="23" t="s">
        <v>1362</v>
      </c>
      <c r="H414" s="23" t="s">
        <v>5</v>
      </c>
      <c r="I414" s="52" t="s">
        <v>359</v>
      </c>
      <c r="J414" s="23"/>
      <c r="K414" s="23"/>
      <c r="L414" s="23"/>
      <c r="M414" s="23"/>
      <c r="N414" s="10"/>
      <c r="O414" s="10"/>
      <c r="P414" s="10"/>
      <c r="Q414" s="10"/>
      <c r="R414" s="11" t="s">
        <v>79</v>
      </c>
      <c r="S414" s="11" t="s">
        <v>79</v>
      </c>
      <c r="T414" s="11"/>
      <c r="U414" s="81"/>
    </row>
    <row r="415" spans="2:21" ht="23" x14ac:dyDescent="0.35">
      <c r="B415" s="60"/>
      <c r="C415" s="63" t="s">
        <v>96</v>
      </c>
      <c r="D415" s="20" t="s">
        <v>3</v>
      </c>
      <c r="E415" s="21" t="s">
        <v>1405</v>
      </c>
      <c r="F415" s="22" t="s">
        <v>1368</v>
      </c>
      <c r="G415" s="23" t="s">
        <v>1387</v>
      </c>
      <c r="H415" s="23" t="s">
        <v>5</v>
      </c>
      <c r="I415" s="52" t="s">
        <v>363</v>
      </c>
      <c r="J415" s="23"/>
      <c r="K415" s="23"/>
      <c r="L415" s="23"/>
      <c r="M415" s="23"/>
      <c r="N415" s="10"/>
      <c r="O415" s="10"/>
      <c r="P415" s="10"/>
      <c r="Q415" s="10"/>
      <c r="R415" s="11" t="s">
        <v>79</v>
      </c>
      <c r="S415" s="11" t="s">
        <v>79</v>
      </c>
      <c r="T415" s="11"/>
      <c r="U415" s="81"/>
    </row>
    <row r="416" spans="2:21" ht="34.5" x14ac:dyDescent="0.35">
      <c r="B416" s="60"/>
      <c r="C416" s="63" t="s">
        <v>446</v>
      </c>
      <c r="D416" s="12" t="s">
        <v>1</v>
      </c>
      <c r="E416" s="13">
        <v>7.2</v>
      </c>
      <c r="F416" s="14" t="s">
        <v>1318</v>
      </c>
      <c r="G416" s="15" t="s">
        <v>1369</v>
      </c>
      <c r="H416" s="15" t="s">
        <v>5</v>
      </c>
      <c r="I416" s="50" t="s">
        <v>359</v>
      </c>
      <c r="J416" s="15"/>
      <c r="K416" s="15"/>
      <c r="L416" s="15"/>
      <c r="M416" s="15"/>
      <c r="N416" s="10"/>
      <c r="O416" s="10"/>
      <c r="P416" s="10"/>
      <c r="Q416" s="10"/>
      <c r="R416" s="11" t="s">
        <v>79</v>
      </c>
      <c r="S416" s="11" t="s">
        <v>79</v>
      </c>
      <c r="T416" s="11"/>
      <c r="U416" s="81"/>
    </row>
    <row r="417" spans="2:21" ht="23" x14ac:dyDescent="0.35">
      <c r="B417" s="60"/>
      <c r="C417" s="63" t="s">
        <v>1373</v>
      </c>
      <c r="D417" s="16" t="s">
        <v>2</v>
      </c>
      <c r="E417" s="17" t="s">
        <v>1370</v>
      </c>
      <c r="F417" s="18" t="s">
        <v>1389</v>
      </c>
      <c r="G417" s="19" t="s">
        <v>1390</v>
      </c>
      <c r="H417" s="19" t="s">
        <v>5</v>
      </c>
      <c r="I417" s="51" t="s">
        <v>359</v>
      </c>
      <c r="J417" s="19"/>
      <c r="K417" s="19"/>
      <c r="L417" s="19"/>
      <c r="M417" s="19"/>
      <c r="N417" s="10"/>
      <c r="O417" s="10"/>
      <c r="P417" s="10"/>
      <c r="Q417" s="10"/>
      <c r="R417" s="11" t="s">
        <v>79</v>
      </c>
      <c r="S417" s="11" t="s">
        <v>79</v>
      </c>
      <c r="T417" s="11"/>
      <c r="U417" s="81"/>
    </row>
    <row r="418" spans="2:21" ht="23" x14ac:dyDescent="0.35">
      <c r="B418" s="60"/>
      <c r="C418" s="63" t="s">
        <v>43</v>
      </c>
      <c r="D418" s="20" t="s">
        <v>3</v>
      </c>
      <c r="E418" s="21" t="s">
        <v>1371</v>
      </c>
      <c r="F418" s="86" t="s">
        <v>1388</v>
      </c>
      <c r="G418" s="23" t="s">
        <v>1392</v>
      </c>
      <c r="H418" s="23" t="s">
        <v>5</v>
      </c>
      <c r="I418" s="52" t="s">
        <v>359</v>
      </c>
      <c r="J418" s="23"/>
      <c r="K418" s="23"/>
      <c r="L418" s="23"/>
      <c r="M418" s="23"/>
      <c r="N418" s="10"/>
      <c r="O418" s="10"/>
      <c r="P418" s="10"/>
      <c r="Q418" s="10"/>
      <c r="R418" s="11" t="s">
        <v>79</v>
      </c>
      <c r="S418" s="11" t="s">
        <v>79</v>
      </c>
      <c r="T418" s="11"/>
      <c r="U418" s="81"/>
    </row>
    <row r="419" spans="2:21" ht="23" x14ac:dyDescent="0.35">
      <c r="B419" s="60"/>
      <c r="C419" s="63" t="s">
        <v>43</v>
      </c>
      <c r="D419" s="20" t="s">
        <v>3</v>
      </c>
      <c r="E419" s="21" t="s">
        <v>1372</v>
      </c>
      <c r="F419" s="86" t="s">
        <v>1391</v>
      </c>
      <c r="G419" s="23" t="s">
        <v>1393</v>
      </c>
      <c r="H419" s="23" t="s">
        <v>5</v>
      </c>
      <c r="I419" s="52" t="s">
        <v>359</v>
      </c>
      <c r="J419" s="23"/>
      <c r="K419" s="23"/>
      <c r="L419" s="23"/>
      <c r="M419" s="23"/>
      <c r="N419" s="10"/>
      <c r="O419" s="10"/>
      <c r="P419" s="10"/>
      <c r="Q419" s="10"/>
      <c r="R419" s="11" t="s">
        <v>79</v>
      </c>
      <c r="S419" s="11" t="s">
        <v>79</v>
      </c>
      <c r="T419" s="11"/>
      <c r="U419" s="81"/>
    </row>
    <row r="420" spans="2:21" ht="34.5" x14ac:dyDescent="0.35">
      <c r="B420" s="60"/>
      <c r="C420" s="63" t="s">
        <v>164</v>
      </c>
      <c r="D420" s="12" t="s">
        <v>1</v>
      </c>
      <c r="E420" s="13">
        <v>7.3</v>
      </c>
      <c r="F420" s="14" t="s">
        <v>1319</v>
      </c>
      <c r="G420" s="15" t="s">
        <v>1374</v>
      </c>
      <c r="H420" s="15" t="s">
        <v>5</v>
      </c>
      <c r="I420" s="50" t="s">
        <v>361</v>
      </c>
      <c r="J420" s="15"/>
      <c r="K420" s="15"/>
      <c r="L420" s="15"/>
      <c r="M420" s="15"/>
      <c r="N420" s="10"/>
      <c r="O420" s="10"/>
      <c r="P420" s="10"/>
      <c r="Q420" s="10"/>
      <c r="R420" s="11" t="s">
        <v>79</v>
      </c>
      <c r="S420" s="11" t="s">
        <v>79</v>
      </c>
      <c r="T420" s="11"/>
      <c r="U420" s="81"/>
    </row>
    <row r="421" spans="2:21" ht="23" x14ac:dyDescent="0.35">
      <c r="B421" s="60"/>
      <c r="C421" s="63" t="s">
        <v>164</v>
      </c>
      <c r="D421" s="16" t="s">
        <v>2</v>
      </c>
      <c r="E421" s="17" t="s">
        <v>1375</v>
      </c>
      <c r="F421" s="18" t="s">
        <v>1376</v>
      </c>
      <c r="G421" s="19" t="s">
        <v>1377</v>
      </c>
      <c r="H421" s="19" t="s">
        <v>5</v>
      </c>
      <c r="I421" s="51" t="s">
        <v>359</v>
      </c>
      <c r="J421" s="19"/>
      <c r="K421" s="19"/>
      <c r="L421" s="19"/>
      <c r="M421" s="19"/>
      <c r="N421" s="10"/>
      <c r="O421" s="10"/>
      <c r="P421" s="10"/>
      <c r="Q421" s="10"/>
      <c r="R421" s="11" t="s">
        <v>79</v>
      </c>
      <c r="S421" s="11" t="s">
        <v>79</v>
      </c>
      <c r="T421" s="11" t="s">
        <v>1651</v>
      </c>
      <c r="U421" s="81"/>
    </row>
    <row r="422" spans="2:21" ht="23" x14ac:dyDescent="0.35">
      <c r="B422" s="60"/>
      <c r="C422" s="63" t="s">
        <v>164</v>
      </c>
      <c r="D422" s="16" t="s">
        <v>2</v>
      </c>
      <c r="E422" s="17" t="s">
        <v>1383</v>
      </c>
      <c r="F422" s="18" t="s">
        <v>1378</v>
      </c>
      <c r="G422" s="19" t="s">
        <v>1379</v>
      </c>
      <c r="H422" s="19" t="s">
        <v>5</v>
      </c>
      <c r="I422" s="51" t="s">
        <v>359</v>
      </c>
      <c r="J422" s="19"/>
      <c r="K422" s="19"/>
      <c r="L422" s="19"/>
      <c r="M422" s="19"/>
      <c r="N422" s="10"/>
      <c r="O422" s="10"/>
      <c r="P422" s="10"/>
      <c r="Q422" s="10"/>
      <c r="R422" s="11" t="s">
        <v>79</v>
      </c>
      <c r="S422" s="11" t="s">
        <v>79</v>
      </c>
      <c r="T422" s="11" t="s">
        <v>1651</v>
      </c>
      <c r="U422" s="81"/>
    </row>
    <row r="423" spans="2:21" ht="23" x14ac:dyDescent="0.35">
      <c r="B423" s="60"/>
      <c r="C423" s="63" t="s">
        <v>1382</v>
      </c>
      <c r="D423" s="16" t="s">
        <v>2</v>
      </c>
      <c r="E423" s="17" t="s">
        <v>1384</v>
      </c>
      <c r="F423" s="18" t="s">
        <v>1380</v>
      </c>
      <c r="G423" s="19" t="s">
        <v>1381</v>
      </c>
      <c r="H423" s="19" t="s">
        <v>5</v>
      </c>
      <c r="I423" s="51" t="s">
        <v>361</v>
      </c>
      <c r="J423" s="19"/>
      <c r="K423" s="19"/>
      <c r="L423" s="19"/>
      <c r="M423" s="19"/>
      <c r="N423" s="10"/>
      <c r="O423" s="10"/>
      <c r="P423" s="10"/>
      <c r="Q423" s="10"/>
      <c r="R423" s="11" t="s">
        <v>1651</v>
      </c>
      <c r="S423" s="11" t="s">
        <v>79</v>
      </c>
      <c r="T423" s="11"/>
      <c r="U423" s="81"/>
    </row>
  </sheetData>
  <autoFilter ref="D5:Z423" xr:uid="{8890AFF3-141C-4311-B2EC-84952B1647D4}"/>
  <mergeCells count="1">
    <mergeCell ref="V3:Z3"/>
  </mergeCells>
  <phoneticPr fontId="21" type="noConversion"/>
  <pageMargins left="0.75" right="0.75" top="1" bottom="1" header="0.5" footer="0.5"/>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9115f49-e5c5-488a-80d4-8da2910cc337">
      <Terms xmlns="http://schemas.microsoft.com/office/infopath/2007/PartnerControls"/>
    </lcf76f155ced4ddcb4097134ff3c332f>
    <TaxCatchAll xmlns="70fe8d3d-5646-4568-9447-c4635e77fd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06628744CE51946ADB66BCF52F323DC" ma:contentTypeVersion="11" ma:contentTypeDescription="Create a new document." ma:contentTypeScope="" ma:versionID="5f36d2d4e5eddea471ae6046d506b049">
  <xsd:schema xmlns:xsd="http://www.w3.org/2001/XMLSchema" xmlns:xs="http://www.w3.org/2001/XMLSchema" xmlns:p="http://schemas.microsoft.com/office/2006/metadata/properties" xmlns:ns2="29115f49-e5c5-488a-80d4-8da2910cc337" xmlns:ns3="70fe8d3d-5646-4568-9447-c4635e77fdbb" targetNamespace="http://schemas.microsoft.com/office/2006/metadata/properties" ma:root="true" ma:fieldsID="c909590118b06ccbe65046c04bbd6857" ns2:_="" ns3:_="">
    <xsd:import namespace="29115f49-e5c5-488a-80d4-8da2910cc337"/>
    <xsd:import namespace="70fe8d3d-5646-4568-9447-c4635e77f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15f49-e5c5-488a-80d4-8da2910cc3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fe8d3d-5646-4568-9447-c4635e77fd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c72bf-1221-485b-956e-de78fc89686d}" ma:internalName="TaxCatchAll" ma:showField="CatchAllData" ma:web="70fe8d3d-5646-4568-9447-c4635e77f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E6AA50-3322-485E-918E-4968DDA5D5AA}">
  <ds:schemaRefs>
    <ds:schemaRef ds:uri="http://schemas.microsoft.com/office/2006/metadata/properties"/>
    <ds:schemaRef ds:uri="http://purl.org/dc/dcmitype/"/>
    <ds:schemaRef ds:uri="http://www.w3.org/XML/1998/namespace"/>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70fe8d3d-5646-4568-9447-c4635e77fdbb"/>
    <ds:schemaRef ds:uri="29115f49-e5c5-488a-80d4-8da2910cc337"/>
  </ds:schemaRefs>
</ds:datastoreItem>
</file>

<file path=customXml/itemProps2.xml><?xml version="1.0" encoding="utf-8"?>
<ds:datastoreItem xmlns:ds="http://schemas.openxmlformats.org/officeDocument/2006/customXml" ds:itemID="{7BC627FC-EFEC-4E24-AC8E-16B0626DE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115f49-e5c5-488a-80d4-8da2910cc337"/>
    <ds:schemaRef ds:uri="70fe8d3d-5646-4568-9447-c4635e77f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43AA5B-8105-4ED4-B07B-437B7A81A4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OTC Data Elements</vt:lpstr>
      <vt:lpstr>Process Design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Dutta, Nilanjan</cp:lastModifiedBy>
  <cp:revision/>
  <dcterms:created xsi:type="dcterms:W3CDTF">2026-04-14T09:57:42Z</dcterms:created>
  <dcterms:modified xsi:type="dcterms:W3CDTF">2026-05-22T00:41:06Z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2026-04-14T11:36:01Z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57946486-3283-4f5c-ab64-75070a55b5db</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MediaServiceImageTags">
    <vt:lpwstr/>
  </property>
  <property fmtid="{D5CDD505-2E9C-101B-9397-08002B2CF9AE}" pid="11" name="ContentTypeId">
    <vt:lpwstr>0x010100206628744CE51946ADB66BCF52F323DC</vt:lpwstr>
  </property>
</Properties>
</file>