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ndutta\Work\Work Projects\Inzio\Process\"/>
    </mc:Choice>
  </mc:AlternateContent>
  <xr:revisionPtr revIDLastSave="0" documentId="8_{A3F71DB7-8567-4159-880C-2D437651188B}" xr6:coauthVersionLast="47" xr6:coauthVersionMax="47" xr10:uidLastSave="{00000000-0000-0000-0000-000000000000}"/>
  <bookViews>
    <workbookView xWindow="-110" yWindow="-110" windowWidth="19420" windowHeight="11500" tabRatio="843" activeTab="1" xr2:uid="{00000000-000D-0000-FFFF-FFFF00000000}"/>
  </bookViews>
  <sheets>
    <sheet name="OTC Data Elements" sheetId="10" r:id="rId1"/>
    <sheet name="Process Design" sheetId="5" r:id="rId2"/>
    <sheet name="Mapping" sheetId="11" r:id="rId3"/>
    <sheet name="Unbilled Monitoring - extract" sheetId="12" r:id="rId4"/>
  </sheets>
  <definedNames>
    <definedName name="_xlnm._FilterDatabase" localSheetId="1" hidden="1">'Process Design'!$A$5:$AD$449</definedName>
    <definedName name="_UNDO_UPS_" hidden="1">'Process Design'!#REF!</definedName>
    <definedName name="_UNDO_UPS_SEL_" hidden="1">'Process Design'!#REF!</definedName>
    <definedName name="_UNDO31X31X_" hidden="1">'Process Design'!#REF!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05" i="5" l="1"/>
  <c r="G208" i="5"/>
  <c r="G170" i="5"/>
  <c r="G173" i="5"/>
  <c r="E19" i="11"/>
  <c r="E20" i="11"/>
  <c r="E21" i="11"/>
  <c r="E18" i="11"/>
  <c r="E10" i="11"/>
  <c r="G105" i="5"/>
  <c r="F99" i="5"/>
  <c r="G97" i="5"/>
  <c r="G95" i="5"/>
  <c r="F85" i="5"/>
  <c r="G91" i="5"/>
  <c r="F91" i="5"/>
  <c r="F101" i="5"/>
  <c r="F54" i="5"/>
  <c r="G54" i="5"/>
  <c r="G49" i="5"/>
  <c r="F59" i="5"/>
  <c r="F224" i="5"/>
  <c r="G315" i="5"/>
  <c r="G312" i="5"/>
  <c r="E26" i="11"/>
  <c r="E25" i="11"/>
  <c r="E24" i="11"/>
  <c r="E14" i="11"/>
  <c r="E13" i="11"/>
  <c r="E15" i="11"/>
  <c r="E17" i="11"/>
  <c r="E11" i="11"/>
  <c r="E7" i="11"/>
  <c r="E6" i="11"/>
  <c r="G306" i="5"/>
  <c r="G337" i="5"/>
  <c r="F225" i="5"/>
  <c r="G258" i="5" l="1"/>
  <c r="G155" i="5"/>
  <c r="G35" i="5"/>
  <c r="G103" i="5"/>
  <c r="G397" i="5"/>
  <c r="G383" i="5"/>
  <c r="G365" i="5"/>
  <c r="G245" i="5"/>
  <c r="G228" i="5"/>
  <c r="G211" i="5"/>
  <c r="G194" i="5"/>
  <c r="G181" i="5"/>
  <c r="G108" i="5"/>
  <c r="G76" i="5"/>
  <c r="G65" i="5"/>
  <c r="G42" i="5"/>
  <c r="G20" i="5"/>
  <c r="G83" i="5"/>
  <c r="G318" i="5"/>
  <c r="G288" i="5"/>
  <c r="G287" i="5"/>
</calcChain>
</file>

<file path=xl/sharedStrings.xml><?xml version="1.0" encoding="utf-8"?>
<sst xmlns="http://schemas.openxmlformats.org/spreadsheetml/2006/main" count="6141" uniqueCount="2224">
  <si>
    <t>L1</t>
  </si>
  <si>
    <t>L2</t>
  </si>
  <si>
    <t>L3</t>
  </si>
  <si>
    <t>L4</t>
  </si>
  <si>
    <t>Start</t>
  </si>
  <si>
    <t>Process</t>
  </si>
  <si>
    <t>x</t>
  </si>
  <si>
    <t>y</t>
  </si>
  <si>
    <t>Level
(L1-L4)</t>
  </si>
  <si>
    <t>Step
Number</t>
  </si>
  <si>
    <t>Step Name</t>
  </si>
  <si>
    <t>Step Description</t>
  </si>
  <si>
    <t>Step Type</t>
  </si>
  <si>
    <t>System / Tool</t>
  </si>
  <si>
    <t>Project</t>
  </si>
  <si>
    <t>Level</t>
  </si>
  <si>
    <t>Seq #</t>
  </si>
  <si>
    <t>Description</t>
  </si>
  <si>
    <t>Shape Type</t>
  </si>
  <si>
    <t>As-Is Owner</t>
  </si>
  <si>
    <t>Responsible (R)</t>
  </si>
  <si>
    <t>Accountable (A)</t>
  </si>
  <si>
    <t>1</t>
  </si>
  <si>
    <t>Order Capture</t>
  </si>
  <si>
    <t>1.1</t>
  </si>
  <si>
    <t>Ops. / Div. Finance</t>
  </si>
  <si>
    <t>Operations</t>
  </si>
  <si>
    <t>1.1.1</t>
  </si>
  <si>
    <t>Customer Initiation</t>
  </si>
  <si>
    <t>Sales</t>
  </si>
  <si>
    <t>CRM</t>
  </si>
  <si>
    <t>X</t>
  </si>
  <si>
    <t>1.1.2</t>
  </si>
  <si>
    <t>Global Master Data</t>
  </si>
  <si>
    <t>1.1.3</t>
  </si>
  <si>
    <t>Credit &amp; Compliance Screening</t>
  </si>
  <si>
    <t>GFS - Credit</t>
  </si>
  <si>
    <t>ERP</t>
  </si>
  <si>
    <t>1.1.4</t>
  </si>
  <si>
    <t>Master Services Agreement (MSA) management</t>
  </si>
  <si>
    <t>Legal</t>
  </si>
  <si>
    <t>CLM</t>
  </si>
  <si>
    <t>1.1.4.1</t>
  </si>
  <si>
    <t>Select MSA Template</t>
  </si>
  <si>
    <t>1.1.4.2</t>
  </si>
  <si>
    <t>Populate High-level Commercial Terms</t>
  </si>
  <si>
    <t>1.1.4.3</t>
  </si>
  <si>
    <t>L5</t>
  </si>
  <si>
    <t>1.1.4.4</t>
  </si>
  <si>
    <t>1.1.4.5</t>
  </si>
  <si>
    <t>Send Contract to Client</t>
  </si>
  <si>
    <t>1.1.4.6</t>
  </si>
  <si>
    <t>Client Reviews &amp; Signs Contract</t>
  </si>
  <si>
    <t>Client (external)</t>
  </si>
  <si>
    <t>1.2</t>
  </si>
  <si>
    <t>Ops / Div. Finance</t>
  </si>
  <si>
    <t>1.2.1</t>
  </si>
  <si>
    <t>1.2.2</t>
  </si>
  <si>
    <t>Draft SOW</t>
  </si>
  <si>
    <t>Develop scope, deliverables and timelines. Define pricing and commercial terms. Align resourcing and effort with delivery. Generate SOW document</t>
  </si>
  <si>
    <t>1.2.2.1</t>
  </si>
  <si>
    <t>1.2.2.2</t>
  </si>
  <si>
    <t>1.2.2.3</t>
  </si>
  <si>
    <t>Define resourcing and effort requirements to support delivery</t>
  </si>
  <si>
    <t>1.2.2.4</t>
  </si>
  <si>
    <t>1.2.3</t>
  </si>
  <si>
    <t>1.2.4</t>
  </si>
  <si>
    <t>1.2.5</t>
  </si>
  <si>
    <t>PO Intake, Validation &amp; Routing</t>
  </si>
  <si>
    <t>GFS</t>
  </si>
  <si>
    <t>Email / Portal / EDI</t>
  </si>
  <si>
    <t>1.2.5.1</t>
  </si>
  <si>
    <t>1.2.5.2</t>
  </si>
  <si>
    <t>1.2.5.3</t>
  </si>
  <si>
    <t>PO Alignment to SOW?</t>
  </si>
  <si>
    <t>1.2.5.4</t>
  </si>
  <si>
    <t>1.2.5.5</t>
  </si>
  <si>
    <t>1.2.5.6</t>
  </si>
  <si>
    <t>1.2.6</t>
  </si>
  <si>
    <t>1.3</t>
  </si>
  <si>
    <t>Project Activation &amp; Budgeting</t>
  </si>
  <si>
    <t>Div. Finance</t>
  </si>
  <si>
    <t>Operations
POs: Div. Finance / GFS</t>
  </si>
  <si>
    <t>PSA</t>
  </si>
  <si>
    <t>1.3.1</t>
  </si>
  <si>
    <t>Project initiation</t>
  </si>
  <si>
    <t>1.3.2</t>
  </si>
  <si>
    <t>1.3.3</t>
  </si>
  <si>
    <t>1.3.4</t>
  </si>
  <si>
    <t>1.3.5</t>
  </si>
  <si>
    <t>1.3.6</t>
  </si>
  <si>
    <t>1.3.7</t>
  </si>
  <si>
    <t>1.3.8</t>
  </si>
  <si>
    <t>3</t>
  </si>
  <si>
    <t>Service Delivery</t>
  </si>
  <si>
    <t>3.1</t>
  </si>
  <si>
    <t>Track Time</t>
  </si>
  <si>
    <t>3.1.1</t>
  </si>
  <si>
    <t>Time Entry Capture</t>
  </si>
  <si>
    <t>3.1.2</t>
  </si>
  <si>
    <t>3.1.3</t>
  </si>
  <si>
    <t>3.1.4</t>
  </si>
  <si>
    <t>Timesheet Posting &amp; Update</t>
  </si>
  <si>
    <t>3.1.5</t>
  </si>
  <si>
    <t>3.2</t>
  </si>
  <si>
    <t>Track Expenses</t>
  </si>
  <si>
    <t>GFS / Div. Finance</t>
  </si>
  <si>
    <t>3.2.1</t>
  </si>
  <si>
    <t>Expense Capture</t>
  </si>
  <si>
    <t>Concur</t>
  </si>
  <si>
    <t>3.2.2</t>
  </si>
  <si>
    <t>Expense Review &amp; Approval</t>
  </si>
  <si>
    <t>3.2.3</t>
  </si>
  <si>
    <t>3.2.4</t>
  </si>
  <si>
    <t>3.3</t>
  </si>
  <si>
    <t>Track &amp; Allocate Other Costs</t>
  </si>
  <si>
    <t>3.3.1</t>
  </si>
  <si>
    <t>Cost Identification &amp; Capture</t>
  </si>
  <si>
    <t>3.3.2</t>
  </si>
  <si>
    <t>Cost Allocation</t>
  </si>
  <si>
    <t>3.3.3</t>
  </si>
  <si>
    <t>Cost Posting</t>
  </si>
  <si>
    <t>3.4</t>
  </si>
  <si>
    <t>Milestone &amp; Progress Monitoring</t>
  </si>
  <si>
    <t>PSA / ERP</t>
  </si>
  <si>
    <t>3.4.1</t>
  </si>
  <si>
    <t>Progress Tracking</t>
  </si>
  <si>
    <t>3.4.2</t>
  </si>
  <si>
    <t>Milestone Validation</t>
  </si>
  <si>
    <t>3.4.2.1</t>
  </si>
  <si>
    <t>Milestone Completion Confirmed?</t>
  </si>
  <si>
    <t>3.4.2.2</t>
  </si>
  <si>
    <t>Prepare Milestone Completion Evidence</t>
  </si>
  <si>
    <t>3.4.2.3</t>
  </si>
  <si>
    <t>Client Acceptance Obtained?</t>
  </si>
  <si>
    <t>3.4.2.4</t>
  </si>
  <si>
    <t>Client Acceptance Confirmation</t>
  </si>
  <si>
    <t>3.4.3</t>
  </si>
  <si>
    <t>Progress &amp; Milestone Update</t>
  </si>
  <si>
    <t>3.4.4</t>
  </si>
  <si>
    <t>Trigger Billing Event</t>
  </si>
  <si>
    <t>4</t>
  </si>
  <si>
    <t>Revenue Recognition</t>
  </si>
  <si>
    <t>4.1</t>
  </si>
  <si>
    <t>Revenue Execution &amp; Posting</t>
  </si>
  <si>
    <t>Calculate revenue based on contract terms/milestones and post journal entries to the GL</t>
  </si>
  <si>
    <t>Div. Finance / GFS</t>
  </si>
  <si>
    <t>4.1.1</t>
  </si>
  <si>
    <t>Revenue Recognition Trigger Initiation</t>
  </si>
  <si>
    <t>Trigger revenue recognition cycle (e.g., period-end). Validate alignment with SOW / MSA terms and revenue recognition rules</t>
  </si>
  <si>
    <t>4.1.2</t>
  </si>
  <si>
    <t>Revenue Readiness Validation</t>
  </si>
  <si>
    <t>Confirm required inputs are complete (e.g., approved timesheets, cross-check fixed fee to POC, etc.)</t>
  </si>
  <si>
    <t>4.1.3</t>
  </si>
  <si>
    <t>Exceptions Identified?</t>
  </si>
  <si>
    <t>4.1.4</t>
  </si>
  <si>
    <t>Exception Resolution</t>
  </si>
  <si>
    <t>Resolve identified exceptions</t>
  </si>
  <si>
    <t>4.1.5</t>
  </si>
  <si>
    <t>Revenue Execution (incl. Accruals &amp; Deferrals)</t>
  </si>
  <si>
    <t>4.1.6</t>
  </si>
  <si>
    <t>Journal Entry Preparation &amp; Routing</t>
  </si>
  <si>
    <t>4.1.7</t>
  </si>
  <si>
    <t>Review and approve journal entries in line with financial controls</t>
  </si>
  <si>
    <t>4.1.8</t>
  </si>
  <si>
    <t>Post revenue journal entries to the general ledger. System updates deferred revenue, accrued revenue and unbilled AR balances accordingly</t>
  </si>
  <si>
    <t>4.2</t>
  </si>
  <si>
    <t>Adjustments &amp; True-Ups (e.g. Rebates)</t>
  </si>
  <si>
    <t>Comm. Finance / Div. Finance</t>
  </si>
  <si>
    <t>4.2.1</t>
  </si>
  <si>
    <t>4.2.2</t>
  </si>
  <si>
    <t>4.2.3</t>
  </si>
  <si>
    <t>4.2.6</t>
  </si>
  <si>
    <t>Adjustment Posting</t>
  </si>
  <si>
    <t>Post adjustment or true-up journal entries to the general ledger. Update project and financial records accordingly. Systematic update to revenue forecast.</t>
  </si>
  <si>
    <t>5</t>
  </si>
  <si>
    <t>Invoicing &amp; Billing</t>
  </si>
  <si>
    <t>5.1</t>
  </si>
  <si>
    <t>Invoice Preparation &amp; Internal Review (incl. Billing on Behalf)</t>
  </si>
  <si>
    <t>GFS
(RP/STEM transitioning to GFS)</t>
  </si>
  <si>
    <t>5.1.1</t>
  </si>
  <si>
    <t>Invoice Trigger Initiated</t>
  </si>
  <si>
    <t>5.1.2</t>
  </si>
  <si>
    <t>5.1.3</t>
  </si>
  <si>
    <t>Mismatch Identified?</t>
  </si>
  <si>
    <t>5.1.4</t>
  </si>
  <si>
    <t>Mismatch Resolution</t>
  </si>
  <si>
    <t>5.1.5</t>
  </si>
  <si>
    <t>5.1.6</t>
  </si>
  <si>
    <t>Invoice Preparation</t>
  </si>
  <si>
    <t>5.1.7</t>
  </si>
  <si>
    <t>5.2</t>
  </si>
  <si>
    <t>Client Review &amp; Approval</t>
  </si>
  <si>
    <t>GFS / Operations</t>
  </si>
  <si>
    <t>ERP / Client Portal / Email</t>
  </si>
  <si>
    <t>5.2.1</t>
  </si>
  <si>
    <t>5.2.2</t>
  </si>
  <si>
    <t>5.2.3</t>
  </si>
  <si>
    <t>5.2.4</t>
  </si>
  <si>
    <t>Client Approval</t>
  </si>
  <si>
    <t>5.3</t>
  </si>
  <si>
    <t>Execution &amp; Submission</t>
  </si>
  <si>
    <t>5.3.1</t>
  </si>
  <si>
    <t>5.3.2</t>
  </si>
  <si>
    <t>Invoice Submission to Client</t>
  </si>
  <si>
    <t>5.3.3</t>
  </si>
  <si>
    <t>Reconciliation</t>
  </si>
  <si>
    <t>6</t>
  </si>
  <si>
    <t>Collections</t>
  </si>
  <si>
    <t>6.1</t>
  </si>
  <si>
    <t>Reconciliation &amp; Analysis</t>
  </si>
  <si>
    <t>GFS - US/UK/Ire/Can
Div. Finance (RoW)</t>
  </si>
  <si>
    <t>6.1.1</t>
  </si>
  <si>
    <t>6.1.2</t>
  </si>
  <si>
    <t>Apply Cash Receipts</t>
  </si>
  <si>
    <t>6.1.3</t>
  </si>
  <si>
    <t>Unapplied / Unallocated Cash Identified?</t>
  </si>
  <si>
    <t>6.1.4</t>
  </si>
  <si>
    <t>Investigate &amp; Resolve Unallocated Cash</t>
  </si>
  <si>
    <t>6.1.5</t>
  </si>
  <si>
    <t>AR Reconciliation</t>
  </si>
  <si>
    <t>6.2</t>
  </si>
  <si>
    <t>Outreach &amp; Escalation</t>
  </si>
  <si>
    <t>ERP /  Email</t>
  </si>
  <si>
    <t>6.2.1</t>
  </si>
  <si>
    <t>Overdue Identification &amp; Prioritisation</t>
  </si>
  <si>
    <t>6.2.2</t>
  </si>
  <si>
    <t>Collections Outreach</t>
  </si>
  <si>
    <t>6.2.3</t>
  </si>
  <si>
    <t>Dispute Identified?</t>
  </si>
  <si>
    <t>6.2.4</t>
  </si>
  <si>
    <t>Dispute Management &amp; Resolution</t>
  </si>
  <si>
    <t>6.2.5</t>
  </si>
  <si>
    <t>Escalation Management</t>
  </si>
  <si>
    <t>6.2.6</t>
  </si>
  <si>
    <t>Payment Commitment Tracking</t>
  </si>
  <si>
    <t>6.2.7</t>
  </si>
  <si>
    <t>Place Account on Credit Hold?</t>
  </si>
  <si>
    <t>6.2.8</t>
  </si>
  <si>
    <t>Implement Credit Hold &amp; Notify Teams</t>
  </si>
  <si>
    <t>6.3</t>
  </si>
  <si>
    <t>Cash Forecasting</t>
  </si>
  <si>
    <t>6.3.1</t>
  </si>
  <si>
    <t>Forecast Update</t>
  </si>
  <si>
    <t>6.3.2</t>
  </si>
  <si>
    <t>Variance Analysis vs Prior Forecast</t>
  </si>
  <si>
    <t>6.3.3</t>
  </si>
  <si>
    <t>Forecast Reporting</t>
  </si>
  <si>
    <t>Invoice</t>
  </si>
  <si>
    <t>Project Manager</t>
  </si>
  <si>
    <t>1.1.2.1</t>
  </si>
  <si>
    <t>1.1.2.2</t>
  </si>
  <si>
    <t>1.1.2.3</t>
  </si>
  <si>
    <t>1.1.2.4</t>
  </si>
  <si>
    <t>1.1.2.5</t>
  </si>
  <si>
    <t>1.1.1.1</t>
  </si>
  <si>
    <t>1.1.1.2</t>
  </si>
  <si>
    <t>1.1.1.3</t>
  </si>
  <si>
    <t>Client Services</t>
  </si>
  <si>
    <t>1.1.1.4</t>
  </si>
  <si>
    <t>AI Agent?</t>
  </si>
  <si>
    <t>1.1.1.5</t>
  </si>
  <si>
    <t>1.1.2.6</t>
  </si>
  <si>
    <t>Automated?</t>
  </si>
  <si>
    <t>Y</t>
  </si>
  <si>
    <t>Partial</t>
  </si>
  <si>
    <t>Y/N/Partial</t>
  </si>
  <si>
    <t>N</t>
  </si>
  <si>
    <t>1.1.3.1</t>
  </si>
  <si>
    <t>Compliance Screening</t>
  </si>
  <si>
    <t>1.1.3.2</t>
  </si>
  <si>
    <t>Credit Assessment</t>
  </si>
  <si>
    <t>1.1.3.3</t>
  </si>
  <si>
    <t>1.1.3.4</t>
  </si>
  <si>
    <t>1.1.3.5</t>
  </si>
  <si>
    <t>Risk Scoring</t>
  </si>
  <si>
    <t>Credit Decisioning</t>
  </si>
  <si>
    <t>ERP Credit Master Update</t>
  </si>
  <si>
    <t>1.1.3.6</t>
  </si>
  <si>
    <t>Notify Stakeholders</t>
  </si>
  <si>
    <r>
      <t xml:space="preserve">HubSpot connection to ServiceNow </t>
    </r>
    <r>
      <rPr>
        <sz val="9"/>
        <color rgb="FFFF0000"/>
        <rFont val="Arial"/>
        <family val="2"/>
      </rPr>
      <t>[to be confirmed]</t>
    </r>
  </si>
  <si>
    <t>Oracle support team creates the record in Fusion. It is done manually using templates.
Extent to which templates are re-used is minimal - ca. 800 templates are currently in the system
Rates are the main driver of the proliferation</t>
  </si>
  <si>
    <t>Limited MDM. Teams have offline mapping tables on customer entities and drugs for reporting purposes</t>
  </si>
  <si>
    <t>All manual as access to SoW / MSA limited. Tickets are logged with the Oracle support team</t>
  </si>
  <si>
    <t>Very limited - 99% of Medical is milestone billing</t>
  </si>
  <si>
    <t>Existing MSA Check</t>
  </si>
  <si>
    <t>Determine whether a valid MSA already exists for the customer or parent/affiliate group</t>
  </si>
  <si>
    <t>Client Amendments</t>
  </si>
  <si>
    <t>POC files ingested into Power Query, with manual completion % entry required for mid-tier projects ($10K–$150K)</t>
  </si>
  <si>
    <t>POC files are the triggers for billing events</t>
  </si>
  <si>
    <t>Collection is moving to GFS - for some agencies its already moved</t>
  </si>
  <si>
    <t>Budgets are set at the outset based on expected amount inc. expense. When actual costs come through a whole reconciliation exercise has to happen to find where the difference is between the project amount and the contract amounts</t>
  </si>
  <si>
    <t>PFRM which is a manual, bolt on tool to do forecasting</t>
  </si>
  <si>
    <t>Reconciliation of PPM vs. contract module. Oracle’s contract module can only hold one purchase order per contract and does not automatically sync with financials of underlying projects in PPM. When second PO arrives, the system loses the first one. Teams create workaround “Part 2” contracts that split the financial record in two which leads to a disconnect between the contract module and the PPM module.  This cascades through billing, revenue recognition, and project close, affecting roughly 19,000–21,000 active projects across the division. Furthermore, Ops and Finance have to manually update at the project and contract actuals to keep them in sync.</t>
  </si>
  <si>
    <t>All of these activities are logged onto PPM</t>
  </si>
  <si>
    <t>CLM (DocuSign)</t>
  </si>
  <si>
    <t>1.2.2.5</t>
  </si>
  <si>
    <t>SOW initiation / amendment</t>
  </si>
  <si>
    <t>1.2.1.1</t>
  </si>
  <si>
    <t>Project Amendment?</t>
  </si>
  <si>
    <t>Determine whether scope is related to an existing project and requires amendment to the SOW</t>
  </si>
  <si>
    <t>Client Reviews &amp; Signs SOW</t>
  </si>
  <si>
    <t>1.2.2.6</t>
  </si>
  <si>
    <t>1.2.2.7</t>
  </si>
  <si>
    <t>SOW Alignment to MSA?</t>
  </si>
  <si>
    <t>SOW Alignment Discrepancy Resolution</t>
  </si>
  <si>
    <t>1.2.5.7</t>
  </si>
  <si>
    <t>PO Alignment Discrepancy Resolution</t>
  </si>
  <si>
    <t>CRM / ERP</t>
  </si>
  <si>
    <t>CRM / ServiceNow</t>
  </si>
  <si>
    <t>ServiceNow</t>
  </si>
  <si>
    <t>ServiceNow / ERP</t>
  </si>
  <si>
    <t>Credit Platform / ERP</t>
  </si>
  <si>
    <t>Execute Statement of Work (SOW) incl. scope, deliverables, and pricing. Set up the contract/order in the ERP system and prepare for project setup</t>
  </si>
  <si>
    <t>Select SOW Template (CLM)</t>
  </si>
  <si>
    <t>PO Upload to Agent</t>
  </si>
  <si>
    <t>Contract Capture Agent</t>
  </si>
  <si>
    <t>PO Received?</t>
  </si>
  <si>
    <t>1.2.6.1</t>
  </si>
  <si>
    <t>Contract / Order Record Creation</t>
  </si>
  <si>
    <t>Commercial Data Entry</t>
  </si>
  <si>
    <t>Billing Configuration</t>
  </si>
  <si>
    <t>Revenue Recognition Setup</t>
  </si>
  <si>
    <t>1.2.6.2</t>
  </si>
  <si>
    <t>1.2.6.3</t>
  </si>
  <si>
    <t>1.2.6.4</t>
  </si>
  <si>
    <t>1.2.6.5</t>
  </si>
  <si>
    <t>Demand &amp; Supply Planning</t>
  </si>
  <si>
    <t>Revenue Forecasting</t>
  </si>
  <si>
    <t>Pipeline Review &amp; Demand Signal Capture</t>
  </si>
  <si>
    <t>2.1.1</t>
  </si>
  <si>
    <t>2.1.2</t>
  </si>
  <si>
    <t>2.1.3</t>
  </si>
  <si>
    <t>Demand Planning &amp; Workforce Optimisation</t>
  </si>
  <si>
    <t>2.2.1</t>
  </si>
  <si>
    <t>Demand Signal Identification</t>
  </si>
  <si>
    <t>2.2.2</t>
  </si>
  <si>
    <t>2.2.3</t>
  </si>
  <si>
    <t>2.2.4</t>
  </si>
  <si>
    <t>Capacity Assessment</t>
  </si>
  <si>
    <t>Gap Analysis</t>
  </si>
  <si>
    <t>Staffing and Assignments</t>
  </si>
  <si>
    <t>Resource Matching &amp; Assignment Proposals</t>
  </si>
  <si>
    <t>Conflict Resolution &amp; Prioritisation</t>
  </si>
  <si>
    <t>Resource Commitment Confirmation</t>
  </si>
  <si>
    <t>Supply-Demand Reporting</t>
  </si>
  <si>
    <t>2.3.1</t>
  </si>
  <si>
    <t>2.3.2</t>
  </si>
  <si>
    <t>2.3.3</t>
  </si>
  <si>
    <t>2.3.4</t>
  </si>
  <si>
    <t>2.1.4</t>
  </si>
  <si>
    <t>Scope Change?</t>
  </si>
  <si>
    <t>2.1.5</t>
  </si>
  <si>
    <t>Determine whether there is a scope change after initial SOW draft</t>
  </si>
  <si>
    <t>Draft SOW Document</t>
  </si>
  <si>
    <t>Define Scope &amp; Delivery Approach</t>
  </si>
  <si>
    <t>Define Resourcing &amp; Effort</t>
  </si>
  <si>
    <t>PSA / Concur</t>
  </si>
  <si>
    <t>Key Differences / Call-outs from As-is
(MEDICAL)</t>
  </si>
  <si>
    <t>Key Differences / Call-outs from As-is
(IGNITE)</t>
  </si>
  <si>
    <t>Key Differences / Call-outs from As-is
(EVOKE)</t>
  </si>
  <si>
    <t>Key Differences / Call-outs from As-is
(ENGAGE)</t>
  </si>
  <si>
    <t>2.1.1.1</t>
  </si>
  <si>
    <t>2.1.1.2</t>
  </si>
  <si>
    <t>Pipeline Data Review &amp; Update</t>
  </si>
  <si>
    <t>Opportunity Qualification for Forecast</t>
  </si>
  <si>
    <t>2.1.2.1</t>
  </si>
  <si>
    <t>2.1.2.2</t>
  </si>
  <si>
    <t>2.1.2.3</t>
  </si>
  <si>
    <t>Division Finance</t>
  </si>
  <si>
    <t>2.1.3.1</t>
  </si>
  <si>
    <t>Forecast Review &amp; Challenge</t>
  </si>
  <si>
    <t>Forecast Finalisation &amp; Publication</t>
  </si>
  <si>
    <t>Staffing</t>
  </si>
  <si>
    <t>3.3.1.1</t>
  </si>
  <si>
    <t>Validate Cost Accuracy</t>
  </si>
  <si>
    <t>Assign Cost Classification</t>
  </si>
  <si>
    <t>Identify Cost Source &amp; Data Capture</t>
  </si>
  <si>
    <t>3.3.1.2</t>
  </si>
  <si>
    <t>3.3.1.3</t>
  </si>
  <si>
    <t>Allocation Basis Definition</t>
  </si>
  <si>
    <t>Allocation Calculation</t>
  </si>
  <si>
    <t>Cost Allocation Assignment</t>
  </si>
  <si>
    <t>Allocation Validation</t>
  </si>
  <si>
    <t>3.3.2.1</t>
  </si>
  <si>
    <t>Cost Posting to Project Ledger</t>
  </si>
  <si>
    <t>3.3.3.1</t>
  </si>
  <si>
    <t>Cost Synchronisation to PSA</t>
  </si>
  <si>
    <t>3.3.3.2</t>
  </si>
  <si>
    <t>3.3.2.2</t>
  </si>
  <si>
    <t>3.3.2.3</t>
  </si>
  <si>
    <t>3.3.2.4</t>
  </si>
  <si>
    <t>3.3.2.5</t>
  </si>
  <si>
    <t>Cost Allocation Approval?</t>
  </si>
  <si>
    <t>SOW and PO saved on client drives (not centralised). In EU, MSAs stored as PDFs on local network drives per country, in local languages. Contracts managed locally with no standard process. Project management gives Excel to Finance for Oracle PPM input. HubSpot doesn't work well for EU Engage's people-supply business model.</t>
  </si>
  <si>
    <t>Initiated in HubSpot by innovation &amp; growth team. Vynamic uses Certinia; Putnam and others use HubSpot. Separate start points that converge at Project Activation.</t>
  </si>
  <si>
    <t>New business captured in HubSpot; existing account work may be tracked in Excel sheets. No standardised initiation workflow across C&amp;T and Comms divisions.</t>
  </si>
  <si>
    <t>BD team inputs into HubSpot for pipeline. In EU, HubSpot covers new opportunities but may not capture individual statements of work - only the overall project. Business model (people supply) does not align well with HubSpot's structure.</t>
  </si>
  <si>
    <t>HubSpot used for new opportunities. Oracle system used for renewals. HubSpot holds uncommitted pipeline; Oracle PPM holds committed work.</t>
  </si>
  <si>
    <t>HubSpot used across Ignite but deal/service-line structures differ by entity (Putnam vs Vynamic). No standardised duplicate detection or merge process documented.</t>
  </si>
  <si>
    <t>HubSpot used for growth/new business side. Engagement type and deal structure may differ between C&amp;T and Comms.</t>
  </si>
  <si>
    <t>HubSpot used for new pipeline but limited detail captured. EU Engage may not see individual SOWs in HubSpot, only overall project-level entries.</t>
  </si>
  <si>
    <t>HubSpot used for new opportunity capture but with limited structured data. Forecasts sit in HubSpot at pipeline level.</t>
  </si>
  <si>
    <t>No automated HubSpot-to-ERP check. Customer data exists across HubSpot, Certinia, and Oracle with fragmented parent/child hierarchies. Inconsistent naming and entity structures create duplicate maintenance risk.</t>
  </si>
  <si>
    <t>No automated trigger. Client data split across HubSpot, Maconomy, and Oracle. No integrated duplicate check between systems.</t>
  </si>
  <si>
    <t>No automated check. Customer data split between HubSpot, Oracle Fusion, and Oracle PPM. EU countries manage customer records locally.</t>
  </si>
  <si>
    <t>No automated check between HubSpot and Oracle PPM. Templates created in Oracle for new products/clients but reuse is minimal (~800 templates in system).</t>
  </si>
  <si>
    <t>No automated ServiceNow ticket creation. PO mailbox monitored by div finance (transitioning to GFS). Client reaches out directly or via Ariva portal.</t>
  </si>
  <si>
    <t>No automated ServiceNow workflow. Setup requests submitted manually. Two-form/two-system setup needed (Maconomy + Oracle) depending on division.</t>
  </si>
  <si>
    <t>No automated request workflow. Project management gives Excel to Finance who manually input into Oracle PPM. EU countries manage setup locally.</t>
  </si>
  <si>
    <t>Client/account hierarchy fragmented across HubSpot, Certinia, Oracle Fusion, and Oracle EPM. Parent/child naming inconsistent. Current Certinia configurations vary across Ignite entities.</t>
  </si>
  <si>
    <t>Client setup may require activity in both Maconomy and Oracle. ServiceNow requests and manual setup steps needed. No unified customer hierarchy across systems.</t>
  </si>
  <si>
    <t>Oracle PPM for cost side, Oracle Fusion for rest. Individual rates not captured in PPM - all managed outside in Excel. EU operations input project data manually from Excel handoffs.</t>
  </si>
  <si>
    <t>No formal MDM ticket workflow. Data cleanup, export, upload, and reconciliation across systems is manual. Pricing models built in Excel then entered into HubSpot/Certinia.</t>
  </si>
  <si>
    <t>No MDM workflow. Client data manually maintained across Maconomy and Oracle. Division-specific forms used for setup.</t>
  </si>
  <si>
    <t>No MDM process. Finance manually enters client data into Oracle from project management Excel inputs. Rate data managed entirely outside PPM.</t>
  </si>
  <si>
    <t>No formal credit screening or risk scoring process documented in workshop notes. Credit assessment not described as a standard step in As-Is.</t>
  </si>
  <si>
    <t>No formal credit screening process documented. Not a standard step in As-Is Evoke OTC process.</t>
  </si>
  <si>
    <t>No formal credit screening process documented. Not a standard step in As-Is Engage OTC process.</t>
  </si>
  <si>
    <t>No formal credit screening or compliance screening process documented in As-Is.</t>
  </si>
  <si>
    <t>No CLM. MSAs stored as PDFs on local network drives per country in local languages. No standard process - managed locally. No e-signature.</t>
  </si>
  <si>
    <t>No CLM tool. MSAs created in Teams drives from client briefs. Scope templates are client-specific. No e-signature. Pricing negotiated via email.</t>
  </si>
  <si>
    <t>No DocuSign. Contracts sent manually (email). Manual signature process.</t>
  </si>
  <si>
    <t>No DocuSign. Contracts in local languages sent manually per country. Regulations vary significantly by country.</t>
  </si>
  <si>
    <t>No DocuSign. Contracts sent and negotiated manually via email.</t>
  </si>
  <si>
    <t>No contract capture agent or tool. SOW/pricing documents manually uploaded to multiple repositories.</t>
  </si>
  <si>
    <t>No contract capture agent. Contracts stored in HighQ (MSAs) and Maconomy (SOWs) separately.</t>
  </si>
  <si>
    <t>No contract capture agent. Contracts stored as PDFs on network drives.</t>
  </si>
  <si>
    <t>No contract capture agent. Contracts on Teams drives with no structured data extraction.</t>
  </si>
  <si>
    <t>Dual-system flow: HubSpot to Certinia. SOW/pricing manually uploaded to multiple places. POs arrive via Ariva portal, email, or direct contact - no unified intake. Account manager manages POs; GFS inputs into Certinia.</t>
  </si>
  <si>
    <t>Entirely manual SOW process. No automated validation. For large clients, portals (e.g., DecideWare) require manual entry of 100s of rows per SOW, sometimes monthly. No standard rate card repository.</t>
  </si>
  <si>
    <t>SOW sent via email to contact team for Oracle BPM setup. Individual pricing models per client. EU: Project managers provide Excel to Finance for PPM data entry. All rates managed outside PPM in Excel.</t>
  </si>
  <si>
    <t>All manual - access to SOW/MSA is limited. Contract is a system term (not PDF) in Oracle. Budget changes don't auto-update contract funding. Every project change requires manual contract update, often multiple times per month.</t>
  </si>
  <si>
    <t>SOW templates exist in HubSpot/Certinia but differ by entity. Pricing frequently built in Excel before system entry. No standardised CLM-based drafting.</t>
  </si>
  <si>
    <t>70% use SOW templates within client MSA; 30% use internal template. Larger clients propose their own. No CLM. Drafting is manual in Word/Excel.</t>
  </si>
  <si>
    <t>Pricing model individual for every client, embedded in each SOW. No standardised template-based drafting. Contracts vary by country with different regulatory requirements.</t>
  </si>
  <si>
    <t>Scopes of work template-specific for clients based on briefs. Drafted in Word/Excel on Teams drives. Oracle creates new templates for new products/clients.</t>
  </si>
  <si>
    <t>Pricing models frequently built outside system in Excel then entered into HubSpot/Certinia. Vynamic ~98% fixed fee; Putnam ~99% fixed fee.</t>
  </si>
  <si>
    <t>Pricing model in every SOW, individual for every client. US: 20M consulting T&amp;M; rest is fixed billing per day/month. EU: Daily rate per working day + passthrough costs.</t>
  </si>
  <si>
    <t>Pricing negotiated via email with client. Most projects are fixed fee. Rates are manually managed.</t>
  </si>
  <si>
    <t>POs arrive via Ariva client portal (email notification), direct client contact, or monitored mailbox. Mailbox managed by div finance (transitioning to GFS). POs then manually loaded into Certinia.</t>
  </si>
  <si>
    <t>Big clients use portals (e.g., DecideWare) requiring large-volume manual data entry. No unified PO intake channel. Manual validation.</t>
  </si>
  <si>
    <t>PO managed via client drives. EU: POs received via email with MSA. No unified intake or automated validation.</t>
  </si>
  <si>
    <t>Manual PO check required before billing. Contract represents PO (many projects). One PO per contract in Oracle's contract module - no auto-sync with project financials.</t>
  </si>
  <si>
    <t>Contract/order setup in Certinia. HubSpot data pushed into Certinia at project activation. Different configurations across Ignite entities (Putnam, Vynamic, RP, STEM).</t>
  </si>
  <si>
    <t>Setup requires activity in both Maconomy and Oracle depending on division. Two-form/two-system process creates duplication. Budget values may need duplicate entry.</t>
  </si>
  <si>
    <t>Setup in Oracle PPM (cost side) and Oracle Fusion (rest). Individual rates not captured in PPM - managed in Excel. EU: Finance enters data from PM Excel handoffs.</t>
  </si>
  <si>
    <t>Project activated in Certinia after HubSpot data flows through. Entities not aligned on one common system model. Different Certinia configurations by business line. No automated SOW-to-project setup.</t>
  </si>
  <si>
    <t>Project setup in Maconomy is manual. Two-form/two-system process (Maconomy + Oracle). Budget values require duplicate entry in contract and working budget fields. Finance contact assignment is offline.</t>
  </si>
  <si>
    <t>Local finance sets up project by project in Oracle. Growth enablement function provides Oracle forms. No automated activation. EU: PM provides Excel to finance for PPM data entry. Business changing from commercial to people support model.</t>
  </si>
  <si>
    <t>Project opened manually in Oracle PPM by project manager. PRFM bolted onto PPM for forecasting with manual connection. Budget changes require manual contract funding updates.</t>
  </si>
  <si>
    <t>SOW not pre-loaded from a capture tool. Project creation in Certinia is manual after opportunity/contract package is ready. Projects can appear before full staffing is complete.</t>
  </si>
  <si>
    <t>BD team exports HubSpot data to Excel then to Oracle EPM/BPM for project setup. Copy of SOW sent via email. No automated initiation.</t>
  </si>
  <si>
    <t>Once agreed by client, project manager opens project manually in Oracle PPM with SOW data. No pre-loading from any capture tool.</t>
  </si>
  <si>
    <t>Project structure set up in Certinia with budgets and milestone structures. Different structures per entity.</t>
  </si>
  <si>
    <t>Oracle PPM for project-related data; Oracle Fusion for other contract info. Project with contract linked manually. No standardised structure across EU countries.</t>
  </si>
  <si>
    <t>Templates used in Oracle PPM but ~800 exist with minimal reuse. Project structure setup is manual.</t>
  </si>
  <si>
    <t>Revenue and budget loaded in Certinia. Different budget/revenue data structures between Putnam and Vynamic affect downstream forecasting.</t>
  </si>
  <si>
    <t>Budget input into Oracle BPM manually. Forecast built in Excel then input into Oracle. No automated budget loading from SOW.</t>
  </si>
  <si>
    <t>Time entry in Certinia. Expense system includes an Expense Bot for first-round automated review (pocket of excellence). Project codes synced between Certinia and Oracle.</t>
  </si>
  <si>
    <t>Utilisation tracked via API with Maconomy (automated). Time entry in Maconomy. PTO tracking not fully integrated and maintained separately.</t>
  </si>
  <si>
    <t>Time tracking varies by country: Oracle PPM (UK), Rexie (Germany), Excel (others). Concur for expenses but project codes not always uploaded - manual list drafting needed for Oracle.</t>
  </si>
  <si>
    <t>No formal billing readiness validation step. Billing configuration set in Certinia during milestone/project setup.</t>
  </si>
  <si>
    <t>No formal billing readiness check. Billing setup is part of the manual project configuration in Maconomy.</t>
  </si>
  <si>
    <t>No formal billing readiness validation. Billing done in Oracle Fusion with rate cards defined per SOW.</t>
  </si>
  <si>
    <t>No formal billing readiness validation. No triggers in PPM - finance manually prompts ops. No way to find remaining PO balance in system.</t>
  </si>
  <si>
    <t>Project becomes visible in Certinia before full staffing/resource structure is complete. No formal go-live checklist described.</t>
  </si>
  <si>
    <t>No formal go-live validation. Project setup completion depends on manual review and offline coordination.</t>
  </si>
  <si>
    <t>No formal activation gate. Project goes live once setup in Oracle by finance. No automated stakeholder notification.</t>
  </si>
  <si>
    <t>Project activated in PPM manually. Contract represents PO linkage. No automated go-live confirmation or stakeholder notification.</t>
  </si>
  <si>
    <t>Relatively strongest of the divisions. Certinia used for forecasting and supply/demand planning. Resources mostly auto-loaded from Workday. Remaining pain points are exceptions and some Excel usage. No Oracle EPM - uses Certinia and Excel.</t>
  </si>
  <si>
    <t>One of the clearest pain points. Team does not use Maconomy PSA staffing module - manages in Excel. People Planner reviewed and rejected (too manual, too slow, no batch changes). Forecast deviations are manual and Excel-based.</t>
  </si>
  <si>
    <t>Mixed maturity. US: planning supported by finance, ops, and growth enablement. EU: No systems for workforce management; key staffing/rate data not captured in PPM. 60% salesforce turnover with 1000+ onboard/offboard per year in Europe.</t>
  </si>
  <si>
    <t>Uses PRFM+ for planning (bolt-on to PPM). HubSpot for uncommitted pipeline, Oracle PPM for committed. Expected/blue-sky forecasts in Excel. Resource planning heavily manual with joint finance/ops effort.</t>
  </si>
  <si>
    <t>Certinia Forecasting tool used (integrated in PSA) - no Oracle EPM. Div finance responsible. Oracle EPM data loading is manual, slow, and error-prone when used. Project-level change visibility lacking.</t>
  </si>
  <si>
    <t>Forecast built in Excel, input into Oracle BPM. Multiple forecast types required (weekly, monthly, 3-month). Budget input into BPM manually. Separate forecasts for group and treasury - all in Excel.</t>
  </si>
  <si>
    <t>PRFM used for forecasting (manual bolt-on to PPM). HubSpot holds uncommitted pipeline; PPM holds committed. Expected and blue-sky forecasts managed in Excel files.</t>
  </si>
  <si>
    <t>Pipeline data in HubSpot. Data flows to Certinia but service-line/deal structures differ by entity. No automated capture into EPM.</t>
  </si>
  <si>
    <t>HubSpot for pipeline. US: relatively automated flow to Oracle EPM. EU: HubSpot may not capture individual SOWs - only overall project.</t>
  </si>
  <si>
    <t>Pipeline in HubSpot. Committed work in Oracle PPM. No automated consolidation between the two.</t>
  </si>
  <si>
    <t>Historical analysis and scenario planning done in Excel and Power BI rather than in EPM. Manual investigation required for forecast changes.</t>
  </si>
  <si>
    <t>No structured historical demand analysis. Forecasting is Excel-based without systematic trend analysis.</t>
  </si>
  <si>
    <t>No structured historical analysis. Forecasts based on manual inputs from local finance. Fusion can output reports for use in forecasting.</t>
  </si>
  <si>
    <t>Historical analysis done in Excel/PRFM. Forecasts based on expected client spend, renewals, and additional opportunities.</t>
  </si>
  <si>
    <t>Certinia data input into overall financial planning. PPM used for group data loading. EPM data loading manual, with system timeouts driving users back to Excel.</t>
  </si>
  <si>
    <t>Forecast consolidation entirely manual in Excel. No system-based consolidation across service lines or geographies.</t>
  </si>
  <si>
    <t>Manual consolidation. Weekly, monthly, and 3-month forecasts using Fusion reports with local finance inputs. Group and treasury forecasts done separately, all in Excel.</t>
  </si>
  <si>
    <t>Consolidation between PRFM, HubSpot, and PPM is manual. Excel used as intermediary for forecast generation.</t>
  </si>
  <si>
    <t>Div finance, innovation &amp; growth, and staffing function collaborate. Innovation &amp; growth supports all Inizio divisions for pipeline translation. Resources auto-loaded from Workday into Certinia. Small number of exceptions managed manually.</t>
  </si>
  <si>
    <t>Biggest weak point for Evoke. Team does not use Maconomy PSA staffing module. Resource management done in individual Excel sheets (RAPs). People Planner was reviewed and rejected - too manual, no batch edits. Staffing tool would benefit everything else in the process.</t>
  </si>
  <si>
    <t>US: Ops knows capacity; growth enablement helps. EU: No workforce management systems. 60% salesforce turnover. Offboard/onboard 1000+ people per year. Finance puts demand/supply together in Excel from PM inputs.</t>
  </si>
  <si>
    <t>Joint effort between finance and operations. Revenue per head and capacity planners used as KPIs. Permanent staff on books of business; freelancers for peaks. Heavily manual in Excel.</t>
  </si>
  <si>
    <t>Resources automatically loaded into Certinia from Workday. Utilisation visibility through Certinia. Exceptions managed manually.</t>
  </si>
  <si>
    <t>No system-based capacity view. RAPs (resource allocation plans) done in Excel. Utilisation tracked via Maconomy API (automated) but capacity planning is separate and manual.</t>
  </si>
  <si>
    <t>No system for capacity assessment. US: staff fulfilment rate tracked but not integrated with Oracle BPM. EU: No systems for workforce management.</t>
  </si>
  <si>
    <t>Capacity assessed manually through Excel-based resource planning. Lead times from opportunity to project start vary significantly.</t>
  </si>
  <si>
    <t>Mix of Oracle (accounting) and Workday (people management) for capacity gaps. Innovation &amp; growth team translates pipeline from people perspective.</t>
  </si>
  <si>
    <t>Hiring delays are a key issue creating staffing gaps. No system-driven subcontractor or hiring planning.</t>
  </si>
  <si>
    <t>EU: Avature (customised system) used for recruitment, better than Workday for their needs. Can't oversupply - deliver people not services. Client involved in recruitment (interviews).</t>
  </si>
  <si>
    <t>Freelancer templates provided for time capture. Permanent vs freelance mix managed manually. Lead times from opportunity to start vary.</t>
  </si>
  <si>
    <t>Relatively mature - resources auto-loaded from Workday to Certinia. Staffing requests submitted after pricing info available. Identified need for a future-state staffing assistant for batch edits and utilisation-aware recommendations.</t>
  </si>
  <si>
    <t>Staffing done entirely in Excel, not in Maconomy. No system support for rapidly moving groups of resources when scope changes. Hiring delays create gaps. This is Evoke's biggest operational weakness.</t>
  </si>
  <si>
    <t>Combined between project management and resource management manually. US: AOE from Workday not always accurate for staffing. EU: Avature used for recruitment but data transfer to finance for billing is manual.</t>
  </si>
  <si>
    <t>Staffing managed manually. Freelancers use standard templates. Resource planning relies on Excel with limited automation.</t>
  </si>
  <si>
    <t>No formal PSA-based matching. Resources loaded from Workday; staffing requests feed forecast logic. Need for staffing assistant identified.</t>
  </si>
  <si>
    <t>No system-based matching. Staffing done in individual Excel sheets. People Planner rejected. No batch move capability.</t>
  </si>
  <si>
    <t>No system-based matching. Combined PM and resource management decision. EU: Avature provides candidate shortlisting based on area/skills but doesn't connect to finance systems.</t>
  </si>
  <si>
    <t>No automated matching. Manual coordination between finance and operations.</t>
  </si>
  <si>
    <t>PowerBI used for reporting on top of Certinia data model. Some scenario planning done in Excel outside the system.</t>
  </si>
  <si>
    <t>No integrated supply-demand reporting. Excel-based RAPs and manual Power BI dashboards being introduced.</t>
  </si>
  <si>
    <t>No integrated reporting. US: Oracle Fusion used for some reports. EU: Data extracts from Oracle PPM into Power Query/PowerBI for reporting. Existing Oracle reporting is not useful.</t>
  </si>
  <si>
    <t>Reporting done through PRFM and Excel. Utilisation and cash forecasting transitioning from Excel to PowerBI.</t>
  </si>
  <si>
    <t>Most system-supported of the divisions. Certinia used for time, expenses (with Expense Bot), and project management. Pain points are mainly incomplete workflow automation (e.g., non-automated reminder emails) rather than absent systems.</t>
  </si>
  <si>
    <t>Maconomy used for project management but not leveraged for resource management. Excel supports significant parts of delivery planning. Timesheet compliance is a material pain point with manual reopening and reallocation.</t>
  </si>
  <si>
    <t>Highly variable by geography. EU: Different time systems by country (Oracle PPM UK, Rexie Germany, Excel others). Inizio never invested in this part of the EU business. Concur for expenses but not cleanly integrated with Oracle.</t>
  </si>
  <si>
    <t>Certinia used for timesheets. Twice-a-month reminder emails are NOT automated - should move to operations. Expense Bot handles first-round review automatically (pocket of excellence).</t>
  </si>
  <si>
    <t>Time entry in Maconomy. Timesheet compliance is a major issue. Reopening timesheets requires manual tickets. Project access control creates delays. Teams chase, reopen, and reallocate time manually. Reallocation tracked as KPI (sign of upstream weakness).</t>
  </si>
  <si>
    <t>US: Time tracked in Oracle systems. EU: Varies by country - Oracle PPM (UK), Rexie (Germany), Excel or client systems (others). Most EU countries have no timesheet system. Projects reconciled monthly instead.</t>
  </si>
  <si>
    <t>Time entered in Oracle PPM. Once submitted, users cannot adjust - must email finance to request changes. Finance processes changes manually in PPM (very time-consuming). Mis-coding and client spending changes drive frequent corrections.</t>
  </si>
  <si>
    <t>Time entered in Certinia. Process relatively standardised across Ignite.</t>
  </si>
  <si>
    <t>Time entered in Maconomy. Users search/filter for projects line by line. Weekly submission standard; daily was tried but too burdensome.</t>
  </si>
  <si>
    <t>US: Time in Oracle. EU: Multiple systems (Oracle PPM UK, Rexie Germany, Excel elsewhere). No standardised entry method across geographies.</t>
  </si>
  <si>
    <t>Time entry in Oracle PPM. Freelancers use a standard template to populate time. Happens frequently on projects with one PO and many small sub-projects.</t>
  </si>
  <si>
    <t>Employee expenses through Certinia with Expense Bot for automated first-round review. Vendor expenses: PM raises requisition in Oracle coded against project. Cross-system process between Certinia and Oracle for vendor expenses. No clear tieback between credit cards and approved expenses.</t>
  </si>
  <si>
    <t>Utilisation tracked via API with Maconomy (automated). PTO tracking not fully integrated - maintained separately from system time reporting.</t>
  </si>
  <si>
    <t>Concur used for expenses but project codes not always uploaded to Concur. Manual process to draft item list for Oracle project logging. Credit card spend adds complexity to cash forecasting. EU: Passthrough costs manually captured and reconciled.</t>
  </si>
  <si>
    <t>Expense system within Oracle. Concur feeds into Oracle but projects not uploaded - manual process needed for project logging. Hope bot exists for checking but not used consistently due to resource constraints.</t>
  </si>
  <si>
    <t>Employee expenses in Certinia with Expense Bot for first-pass review. Vendor expenses raised as requisitions in Oracle by PM.</t>
  </si>
  <si>
    <t>Expenses in Maconomy/Concur. Utilisation via Maconomy API. PTO separate.</t>
  </si>
  <si>
    <t>Concur for expenses. EU: passthrough costs (fuel, bonuses) defined by contract and varied by regulation. Passthroughs manually matched to travel claims.</t>
  </si>
  <si>
    <t>Expenses in Oracle. Concur auto-feeds into Oracle but project allocation is manual. Freelancer expenses via standard templates.</t>
  </si>
  <si>
    <t>Passthrough costs: system meant to generate cost and revenue transaction but no automated notification if budget exceeded. Part of month-end analysis. Vendor invoice direction not in policy with Inizio.</t>
  </si>
  <si>
    <t>Limited other cost tracking described. Resource management costs not systematically tracked outside of time.</t>
  </si>
  <si>
    <t>Finance catches credit card expenses in P&amp;L then ops allocate in Oracle Fusion - manual. Manual cost allocation across multiple projects required for accurate gross profit. Two big VC programs with manual cost tracking.</t>
  </si>
  <si>
    <t>Passthrough costs significant - manual allocation and reconciliation required. Project-level cost tracking through PPM.</t>
  </si>
  <si>
    <t>Personnel costs ~90% automated through Certinia. Other costs (~10%) manually calculated and allocated. No automated budget-exceeded notifications for passthroughs.</t>
  </si>
  <si>
    <t>Cost allocation not well-documented as a separate step. Costs tracked at project level in Maconomy.</t>
  </si>
  <si>
    <t>Manual cost allocation process. Finance identifies large P&amp;L expenses, works with ops to allocate across projects. Concur project codes not always available, creating allocation gaps.</t>
  </si>
  <si>
    <t>Budgets set at outset based on expected amounts. When actuals differ, full reconciliation exercise needed. Costs allocated through PPM.</t>
  </si>
  <si>
    <t>Milestones are core control point in Certinia billing. Milestone amounts, PO details, billing site overrides manually maintained. Not enough system-driven workflow to ensure data complete before billing. Finance acts as manual backstop.</t>
  </si>
  <si>
    <t>Utilisation less direct when teams on-site. No volumetrics tracked. Schedule adherence not measured. Limited milestone-based monitoring for people-supply model.</t>
  </si>
  <si>
    <t>Progress tracked through milestones in Certinia. Milestone owners receive alerts but manual work still needed to ensure correct data.</t>
  </si>
  <si>
    <t>Progress tracked in Maconomy but resource management not leveraged. Power BI dashboards being introduced for visibility.</t>
  </si>
  <si>
    <t>US: Profitability and margin tracked in Oracle Fusion. EU: Project profitability is main focus - margin tracking done by local finance directors using Oracle PPM data extracts.</t>
  </si>
  <si>
    <t>Progress tracked via manual POC (percentage of completion) files. PMs fill in manually, then data ingested via PowerQuery for reporting and billing triggers.</t>
  </si>
  <si>
    <t>Billing depends on milestone creation and validation against PO, billing site, and service product. Some validation still depends on div finance as manual backstop rather than system-driven triggers.</t>
  </si>
  <si>
    <t>No automated billing triggers. Pre-billing at start of month; actuals at end. Billing done in Oracle Fusion with manual rate card application.</t>
  </si>
  <si>
    <t>No triggers within PPM - all manual. Finance prompts ops. POC files are the triggers for billing events. No way to find remaining PO balance in system.</t>
  </si>
  <si>
    <t>Partially automated. Personnel costs (~90%) automated; remaining ~10% manually calculated. All done through month-end analysis. Post-revenue JEs require manual work. Rebates coordinated between commercial team and div finance.</t>
  </si>
  <si>
    <t>Manual process. Ops send Excel to finance for % complete uploads. Automated for T&amp;M but manual for fixed fee/milestone. Revenue adjustments uploaded from Excel. Reconciliation with clients outside system.</t>
  </si>
  <si>
    <t>Manual month-end process by Engage Finance. Last 5 days very busy with huge contracts. RevRec uses actuals for first 25 days + estimates for last 5. Cross-divisional work makes it more complex. Workday FTE updates are painful.</t>
  </si>
  <si>
    <t>Month-end analysis process. Personnel costs ~90% automated through Certinia. Remaining 10% manually calculated. Passthrough cost checks don't auto-notify if budget exceeded.</t>
  </si>
  <si>
    <t>Revenue recognition manual in Maconomy - select required fields. Automated for T&amp;M but manual for fixed fee and milestone-based. Revenue adjustments may need Excel uploads.</t>
  </si>
  <si>
    <t>Done manually by Engage Finance using Oracle Fusion. Actuals for first 25 days + estimates for last 5 days of month. Variance analysis using Oracle BPM reports. Nothing in BPM unless manually input.</t>
  </si>
  <si>
    <t>Ops apply details in PRFM then into PPM. Percentages back-worked from amounts. Manual changes input for each project. Different methods by project value (low/mid/high).</t>
  </si>
  <si>
    <t>Readiness validated through month-end analysis. No formal automated readiness check.</t>
  </si>
  <si>
    <t>No automated readiness check. Finance validates using timesheet data and milestone tracking.</t>
  </si>
  <si>
    <t>Kristen's team reviews variance using Oracle BPM report to analyse. No automated validation.</t>
  </si>
  <si>
    <t>Readiness checked via POC files. Manual completion % entry required for mid-tier projects ($10K-$150K).</t>
  </si>
  <si>
    <t>Accruals/deferrals managed through month-end analysis in Certinia. Passthrough costs generate cost and revenue transactions with budget check. Intercompany revenue requires manual balancing across entities.</t>
  </si>
  <si>
    <t>Revenue execution manual for milestone/variable projects. Bulk uploads from Excel for certain adjustments. Deferred billing and revenue matching improvements ongoing.</t>
  </si>
  <si>
    <t>Pre-billing at start of month creates timing differences. Actuals reconciled at month-end. Cross-divisional work adds RevRec complexity. Fusion vs BPM disconnected unless manually input.</t>
  </si>
  <si>
    <t>Revenue calculated from POC files ingested into Power Query. Manual % completion entry for mid-tier projects. PRFM reconciles revenue with manual reviews and uploads.</t>
  </si>
  <si>
    <t>Rebates: commercial team analyses amount billed, coordinates with div finance. Processed in Oracle or Certinia depending on project. Forecasting captured in HubSpot with many manual adjustments.</t>
  </si>
  <si>
    <t>Revenue adjustment files uploaded from Excel. Reconciliation with clients happens outside system. No system-driven adjustment workflow.</t>
  </si>
  <si>
    <t>Rebate issues: group wants changes to client agreements but difficult with large clients (e.g., J&amp;J). Monthly manual FTE updates by cost centre from Workday. Workday described as 'root of all evil' for this process.</t>
  </si>
  <si>
    <t>Rebates relatively easy to process. Volume rebates done by Liz's team. Move to centralise and shift to GFS underway.</t>
  </si>
  <si>
    <t>Most system-supported. GFS uses Certinia to issue invoices. Manual PO validation and portal submission remains. Intercompany invoicing requires manual GL reclassification. International invoicing needs local compliance steps outside Certinia.</t>
  </si>
  <si>
    <t>No invoices generated automatically - all manual. Very time-consuming but accuracy high due to manual effort. Draft invoices reviewed/approved by email not system workflow. Big client portals require large-volume manual entry.</t>
  </si>
  <si>
    <t>Pre-bill at start of month, actuals at end - complex reconciliation. Reconciliation exported to Excel from Fusion, done in Excel, uploaded back. Over 50% of clients use portals. 100s of portals in EU. No GFS involvement in EU except UK/Ire/Canada.</t>
  </si>
  <si>
    <t>No triggers in PPM - all manual. No way to find remaining PO balance in system. Excel trackers used for milestone/invoice monitoring. GFS responsible for creation and submission but all tasks are manual (receive Excel, review, email back, submit, download, send).</t>
  </si>
  <si>
    <t>GFS generates invoices in Certinia. Billing event compared against budget. Comments/descriptions manually copied from milestone info. Billing site may need manual validation/override. Service product selection matters for fee vs expense presentation.</t>
  </si>
  <si>
    <t>No invoices generated automatically. Most processes manual with some brands using scheduled billing. Reconciliation with clients is key accuracy step. Draft invoices reviewed by email, not in-system workflow.</t>
  </si>
  <si>
    <t>Billing done in Oracle Fusion with rate card. Pre-billing at start of month; actuals with estimates for last 5 days at month-end. Reconciliation exported to Excel, processed in Excel, then uploaded back to Fusion.</t>
  </si>
  <si>
    <t>No triggers in PPM. Finance prompts ops to initiate billing. Excel trackers used to monitor milestones and determine invoice amounts. Ops review trackers with clients for amounts.</t>
  </si>
  <si>
    <t>Milestone completion/approval triggers billing in Certinia. Some validation still depends on div finance as manual backstop rather than automated trigger.</t>
  </si>
  <si>
    <t>No automated invoice triggers. Finance and ops coordinate manually to determine when to invoice.</t>
  </si>
  <si>
    <t>No automated triggers. Pre-billing at start of month is standard. Billing takes 5 days; rest of month spent working with ops and clients.</t>
  </si>
  <si>
    <t>Billing data in Certinia with milestone details. PO, billing site, and service product details manually maintained or validated. Intercompany billing across entities requires project-by-project analysis.</t>
  </si>
  <si>
    <t>Manual data preparation. For T&amp;M, users delimit hours and manually align actuals to invoice content. No system consolidation.</t>
  </si>
  <si>
    <t>Manual preparation in Excel from Fusion data. Client-specific report formats required. Starts with standard template but ends in custom client format. Cross-functional inputs needed (e.g., J&amp;J report across Inizio).</t>
  </si>
  <si>
    <t>Invoice data compiled from POC files and Excel trackers. Ops review with clients to determine amounts. Manual process to gather data across projects.</t>
  </si>
  <si>
    <t>Invoices generated as PDFs in Certinia. Supporting artifacts attached back into system. Intercompany invoices may need manual reclassification on receiving side.</t>
  </si>
  <si>
    <t>All invoices created manually. No system-generated invoices. High accuracy due to manual effort but very time-consuming.</t>
  </si>
  <si>
    <t>Invoices created in Oracle Fusion. No automated generation. EU: Tracking of work done in Excel then sent to Oracle PPM for invoice processing.</t>
  </si>
  <si>
    <t>Invoices generated in Oracle PPM. Client teams share project trackers (Excel) used as invoicing basis. Process can take hours to days.</t>
  </si>
  <si>
    <t>Invoices delivered manually by email or client portal upload. International invoicing has country-specific compliance needs with local ops sometimes handling final issuance outside Certinia.</t>
  </si>
  <si>
    <t>Big client portals (e.g., DecideWare) require large-volume manual data entry. Reconciliation with clients is a key step before finalising invoices.</t>
  </si>
  <si>
    <t>Over 50% of clients require portal uploads. Clients want custom report formats. Client reporting takes significant finance team time. Billing takes 5 days, rest of month is client work.</t>
  </si>
  <si>
    <t>Manual review and email exchanges for approval. Clients may not review straight away - team has to chase. Oracle has direct portal connection but not fully utilised.</t>
  </si>
  <si>
    <t>Manual email or portal submission. Some international/local compliance invoicing handled outside Certinia. Intercompany timing coordinated manually.</t>
  </si>
  <si>
    <t>Manual delivery. Some clients require large portal uploads. No automated submission.</t>
  </si>
  <si>
    <t>100s of client portals in EU need manual invoice loading. Big pharma has portals or external partners required. Invoice progress tracked in portals. EU: all done by local business (no GFS).</t>
  </si>
  <si>
    <t>Submitted manually via email or portal. GFS responsible for submission but process is manual (download from system, send to client). Oracle has portal API connection but underutilised.</t>
  </si>
  <si>
    <t>Reconciliation done as part of month-end in Certinia. Intercompany requires project-by-project analysis. Finance teams coordinate timing manually to minimise residual balances.</t>
  </si>
  <si>
    <t>Reconciliation process with clients is good but manual. Maconomy aging not always source of truth. Payment/collections visibility not fully integrated.</t>
  </si>
  <si>
    <t>Reconciliation exported to Excel from Fusion, done in Excel, then uploaded back to Fusion. No unbilled WIP tracked. Monthly reconciliation of projects in EU.</t>
  </si>
  <si>
    <t>In transition to GFS. GFS uses Certinia for collections and initial escalations. Cash forecasting remains divisional and Excel-based. Cash application in Oracle with payment status fed to Certinia but visibility restricted by licensing.</t>
  </si>
  <si>
    <t>Collections reporting handled by GFS. Evoke re-engages on escalations/disputes. Payment/collections visibility not fully integrated. DSO and cash collection rate tracked.</t>
  </si>
  <si>
    <t>US: Dawn's team chases first then escalates to Engage Finance. Finance team has client relationship from beginning to end. EU: GFS only in UK/Ire/Canada - rest done by local teams. 80% of unpaid invoices are client challenges. Advanced collection not set up in EU.</t>
  </si>
  <si>
    <t>Cash application in Oracle. Payment status fed back to Certinia but visibility limited by finance license restrictions. Friday cash application is clunky due to overnight statement imports.</t>
  </si>
  <si>
    <t>Maconomy aging not always source of truth for collections. Collections reconciliation occurs outside main project tool. Split-source reporting creates burden.</t>
  </si>
  <si>
    <t>US: Collections measured, group gives metrics to Engage Finance. EU: GFS only UK/Ire/Canada. Other countries: local teams manage collections directly.</t>
  </si>
  <si>
    <t>Moving to GFS management with local team support. AMC UK and US already within GFS. Manual AP/portal checks ongoing.</t>
  </si>
  <si>
    <t>Cash application in Oracle. Fed back to Certinia. Friday cash received is manually applied due to bank statement timing limitations.</t>
  </si>
  <si>
    <t>Cash receipts applied outside Maconomy. No full integration back to project/billing system.</t>
  </si>
  <si>
    <t>Cash application through Oracle. Monthly operating cash meetings with group CFO/CEO review forecasts.</t>
  </si>
  <si>
    <t>Cash receipts managed through Oracle. Collections team checks portals and AP departments manually.</t>
  </si>
  <si>
    <t>GFS handles initial escalations via Certinia. Division still involved when further escalation needed. Dawn's team makes initial recommendation, division signs off.</t>
  </si>
  <si>
    <t>GFS handles collections outreach. Evoke re-engages only when there are escalations or disputes that GFS can't resolve.</t>
  </si>
  <si>
    <t>US: Dawn's team chases for first 5 days then escalates to Engage Finance (local finance, not delivery). Finance has client relationship. EU: Mostly local teams - 80% of unpaid invoices are client challenges.</t>
  </si>
  <si>
    <t>GFS informs local teams but works directly with ops teams. Collections managed by GFS with escalation to divisional finance for client-specific issues.</t>
  </si>
  <si>
    <t>Division involved in dispute resolution. Collections linked to invoice quality and dispute handling.</t>
  </si>
  <si>
    <t>Evoke re-engages when GFS encounters disputes. Dispute resolution involves division directly.</t>
  </si>
  <si>
    <t>Finance team has direct client relationship for dispute resolution. US: escalation via calls, emails, texts. EU: Local teams handle directly.</t>
  </si>
  <si>
    <t>GFS handles initial dunning and outreach. Escalation to divisional finance for client-specific issues requiring relationship management.</t>
  </si>
  <si>
    <t>Cash forecasting done by div finance in Excel. No system-based forecasting tool for cash. Weekly direct submission and 3-month outlook.</t>
  </si>
  <si>
    <t>Cash collection rate reported by GFS. No detailed cash forecasting by Evoke. Collections reporting is split-source.</t>
  </si>
  <si>
    <t>Cash forecasting in Excel by local finance. Multiple forecasts: weekly, monthly, 3-month. Separate group and treasury forecasts. Credit card spend adds complexity. Monthly operating cash meetings with CFO/CEO.</t>
  </si>
  <si>
    <t>Cash reporting done weekly with direct and indirect submissions. 3-month outlook. Working on Excel files. Automated cash flow forecasting initiative underway but pending approvals.</t>
  </si>
  <si>
    <t>Manual Excel-based cash forecast. Fed into group reporting. Bank statement import timing creates workarounds.</t>
  </si>
  <si>
    <t>No dedicated Evoke cash forecasting process described. Reliant on GFS for collection reporting.</t>
  </si>
  <si>
    <t>Weekly forecast, monthly forecast, and 3-month rolling forecast all done manually in Excel using Fusion reports with local finance inputs.</t>
  </si>
  <si>
    <t>PRFM for revenue forecasting. Cash forecasting done in Excel. Working on automating AP/AR ledger data inputs.</t>
  </si>
  <si>
    <t>PowerBI reporting on top of Certinia. Cash forecasting is Excel-based and separate from project/revenue reporting.</t>
  </si>
  <si>
    <t>Reporting done through GFS collections reports. No Evoke-specific cash forecast reporting tool.</t>
  </si>
  <si>
    <t>Excel-based reporting. Multiple report types required: group, treasury, client-specific (e.g., J&amp;J cross-functional). Clients want custom formats. 5027 report for monthly operating cash meetings.</t>
  </si>
  <si>
    <t>Future Opportunity</t>
  </si>
  <si>
    <t>OTC Data Model — Key Data Elements for Workshop Discussion</t>
  </si>
  <si>
    <t>OTC Stage</t>
  </si>
  <si>
    <t>Data Element</t>
  </si>
  <si>
    <t>Definition &amp; Description</t>
  </si>
  <si>
    <t>Key Attributes</t>
  </si>
  <si>
    <t>Business Rules &amp; Thresholds
(For Discussion)</t>
  </si>
  <si>
    <t>Current System(s) of Record</t>
  </si>
  <si>
    <t>Known Issues &amp; Gaps</t>
  </si>
  <si>
    <t>1. Order Capture</t>
  </si>
  <si>
    <t>Customer / Client</t>
  </si>
  <si>
    <t>The legal entity or organisation purchasing services from an Inizio division. Represents the billable party and the top-level commercial relationship.</t>
  </si>
  <si>
    <t>Customer ID, Legal Name, Trading Name, Parent Account, Bill-to Address, Ship-to Address, Tax ID, Payment Terms, Credit Limit, Industry, Territory</t>
  </si>
  <si>
    <t>What is the minimum engagement value to create a formal customer record (e.g. &gt;$10k)?
Should a single global customer ID span all divisions?
Who owns the parent-child hierarchy — and in which system?
What naming convention applies across entities (e.g. "the ever-changing Inizio entity names")?</t>
  </si>
  <si>
    <t>HubSpot (prospect/pipeline)
Certinia (Ignite)
Maconomy (Evoke/Engage)
Oracle Fusion (GL/AP/AR)
Oracle EPM (planning)</t>
  </si>
  <si>
    <t>No single source of truth — each system maintains its own master data independently. Parent-child hierarchies inconsistent across HubSpot, Certinia, and Oracle. Entity naming conventions change over time. No clear data steward or governance process.</t>
  </si>
  <si>
    <t>Account Hierarchy</t>
  </si>
  <si>
    <t>The parent-child structure linking related legal entities, subsidiaries, and trading entities under a single client umbrella.</t>
  </si>
  <si>
    <t>Grandparent Account, Parent Account, Child Account, Relationship Type, Hierarchy Level, Effective Date</t>
  </si>
  <si>
    <t>How many levels of hierarchy are needed (2? 3?)?
Who is the data owner for cross-system hierarchy maintenance?
How should acquisitions/name changes be handled — retroactively or point-forward?</t>
  </si>
  <si>
    <t>HubSpot, Certinia, Oracle Fusion (each maintains own version)</t>
  </si>
  <si>
    <t>"Not really clear who owns that hierarchy." Hierarchies in HubSpot do not always match Certinia or Oracle. No automated sync of hierarchy changes across systems.</t>
  </si>
  <si>
    <t>Opportunity / Deal</t>
  </si>
  <si>
    <t>A qualified sales opportunity representing potential revenue. Tracked through deal stages from prospect to closed-won.</t>
  </si>
  <si>
    <t>Opportunity ID, Deal Name, Stage, Probability, Expected Value, Expected Close Date, Division, Service Line, Owner, Associated Customer</t>
  </si>
  <si>
    <t>What is the minimum deal size to track in HubSpot (e.g. &gt;$10k? &gt;$25k?)?
At what stage does an opportunity become a firm forecast inclusion?
Should renewals and extensions be tracked as new opportunities or amendments?</t>
  </si>
  <si>
    <t>HubSpot (all divisions)
Certinia (Ignite — dual sync)
Maconomy (Evoke — no HubSpot integration)</t>
  </si>
  <si>
    <t>Vynamic logs opportunities in both HubSpot and Certinia (dual sync). HubSpot-to-Maconomy integration does not exist for Evoke. Deal structure in Vynamic differs from Putnam. Renewals process not consistently captured.</t>
  </si>
  <si>
    <t>Contract / MSA</t>
  </si>
  <si>
    <t>The Master Services Agreement — the overarching legal framework governing the commercial relationship with a client. Defines standard terms, liability, IP, and confidentiality.</t>
  </si>
  <si>
    <t>Contract ID, Client, Effective Date, Expiry Date, Auto-Renewal Flag, Standard/Non-Standard Terms, Signed Copy Location, Contract Status</t>
  </si>
  <si>
    <t>What is the threshold for requiring a formal MSA vs. a simplified letter agreement (e.g. &gt;$50k annual value?)?
What constitutes a "material amendment" requiring re-approval?
Maximum contract term before mandatory review?</t>
  </si>
  <si>
    <t>HighQ (some divisions)
Certinia (Ignite)
Teams/Network Drives (ad hoc)
No CLM system in place</t>
  </si>
  <si>
    <t>Contracts stored offline across multiple locations — no single repository. No e-signature (DocuSign) workflow. No CLM for version control, renewal tracking, or obligation management. Storage varies by division.</t>
  </si>
  <si>
    <t>Statement of Work (SOW)</t>
  </si>
  <si>
    <t>A project-level agreement under an MSA that defines scope, deliverables, pricing, timeline, and resourcing for a specific engagement.</t>
  </si>
  <si>
    <t>SOW ID, Associated MSA, Scope Description, Fee Type (Fixed/T&amp;M/Hybrid), Total Value, Start Date, End Date, Billing Milestones, Rate Card Reference, PO Requirement Flag</t>
  </si>
  <si>
    <t>What is the minimum SOW value that justifies full project setup (e.g. &gt;$10k?)?
Should micro-engagements (&lt;$5k) follow a simplified process?
How should scope changes/amendments be numbered and tracked?
What % variance from original SOW triggers re-approval?</t>
  </si>
  <si>
    <t>Created manually (Word/PDF)
Stored in Certinia / Maconomy / HighQ / Teams drives
HubSpot captures summary fields</t>
  </si>
  <si>
    <t>SOW creation is entirely manual — no template library or AI extraction. Pricing models frequently built in Excel then entered separately into HubSpot and Certinia. No automated SOW-to-project setup.</t>
  </si>
  <si>
    <t>Purchase Order (PO)</t>
  </si>
  <si>
    <t>The client's formal authorisation to bill against a SOW. Required by many clients before invoicing can begin.</t>
  </si>
  <si>
    <t>PO Number, Client, SOW Reference, PO Value, Currency, Validity Period, PO Line Items, Remaining Balance, Status</t>
  </si>
  <si>
    <t>Oracle currently supports only one PO per contract — is this the target state or does multi-PO need to be enabled?
What is the tolerance for PO value vs. SOW value mismatch (e.g. within 5%)?
How should PO renewals/extensions be handled?
What triggers a PO balance alert (e.g. 80% consumed)?</t>
  </si>
  <si>
    <t>Oracle Fusion (AR)
Certinia (Ignite)
Maconomy (Evoke/Engage)</t>
  </si>
  <si>
    <t>Oracle only holds one PO per contract — workaround "Part 2" contracts split financial records. POs arrive via email, portals, or direct contact with no unified intake. No automated PO-to-SOW matching.</t>
  </si>
  <si>
    <t>2. Demand &amp; Supply Planning</t>
  </si>
  <si>
    <t>Revenue Forecast</t>
  </si>
  <si>
    <t>The projected revenue for a defined period, combining contracted backlog, weighted pipeline, and expected renewals.</t>
  </si>
  <si>
    <t>Forecast Period, Division, Entity, Contracted Revenue, Weighted Pipeline, Expected Renewals, Forecast Confidence, Variance to Prior, Forecast Owner</t>
  </si>
  <si>
    <t>What is the forecast cadence — monthly, quarterly, rolling 12-month?
At what pipeline probability should deals enter the forecast (e.g. &gt;50%? &gt;75%?)?
How should intercompany/cross-entity revenue be counted — at source or destination?
What variance threshold triggers an escalation review?</t>
  </si>
  <si>
    <t>Oracle EPM (target)
Certinia (Ignite — partial)
Excel / Power BI (all divisions)</t>
  </si>
  <si>
    <t>EPM not used for scenario planning despite being available. System timeouts and freezes drive users to Excel. Forecasting managed entirely in Excel for Evoke and Engage. No link between Workday and forecast for true project profitability.</t>
  </si>
  <si>
    <t>Resource / Staff Assignment</t>
  </si>
  <si>
    <t>The allocation of named individuals (FTEs, contractors, freelancers) to specific projects, including role, utilisation %, and time period.</t>
  </si>
  <si>
    <t>Employee ID, Name, Role, Division, Project Assignment, Allocation %, Start Date, End Date, Cost Rate, Bill Rate, Employee Type (FTE/Contractor)</t>
  </si>
  <si>
    <t>What is the minimum allocation % that counts as "assigned" (e.g. &gt;10%)?
How far ahead should resource plans extend (e.g. 90 days? 6 months?)?
What utilisation target defines "fully staffed"?
How are freelancer-to-FTE conversions handled in the system?</t>
  </si>
  <si>
    <t>Certinia PSA (Ignite)
Maconomy (Evoke/Engage)
Workday (HR source)
Excel (workforce planning)</t>
  </si>
  <si>
    <t>Workday does not sync with Maconomy — name, title, LOA, employee type changes require manual updates. No PSA-based resource matching in Evoke/Engage. Ignite auto-loads from Workday; others are manual.</t>
  </si>
  <si>
    <t>3. Service Delivery</t>
  </si>
  <si>
    <t>The operational delivery unit — a structured container for tracking time, costs, budgets, milestones, and revenue against a SOW.</t>
  </si>
  <si>
    <t>Project ID, Project Name, Client, SOW Reference, Project Manager, Status, Start Date, End Date, Fee Type, Budget, Division, Entity</t>
  </si>
  <si>
    <t>Should every SOW create exactly one project, or can a SOW span multiple sub-projects?
What is the maximum project duration before mandatory review?
When should a project be marked "Closed" — final deliverable or final payment?
What is the definition of an "active" project for reporting?</t>
  </si>
  <si>
    <t>Certinia (Ignite — Putnam/Vynamic/RP/STEM)
Maconomy (Evoke/Engage)
Oracle PPM (Medical)</t>
  </si>
  <si>
    <t>Certinia configured differently across Ignite entities — "three, maybe three sets of configurations." 800+ unique project templates in Oracle (Medical). No automated SOW-to-project creation. RP going live April, STEM not yet aligned.</t>
  </si>
  <si>
    <t>Budget</t>
  </si>
  <si>
    <t>The financial plan for a project, defining expected revenue, costs, and margin. May include contract budget (client-signed value) and working budget (internal delivery estimate).</t>
  </si>
  <si>
    <t>Budget ID, Project, Contract Budget, Working Budget, Budget Type (Fixed/T&amp;M), Labour Cost, Other Cost, Passthrough, Margin %, Budget Status, Approval Date</t>
  </si>
  <si>
    <t>What variance between contract budget and working budget is acceptable (e.g. within 10%)?
At what % budget consumed should alerts trigger (e.g. 75%, 90%)?
How should budget increases be approved — same authority as original or escalated?
Should passthrough costs be included in budget or tracked separately?</t>
  </si>
  <si>
    <t>Certinia (Ignite)
Maconomy (Evoke/Engage)
Oracle PPM (Medical)
Excel (all — supplementary)</t>
  </si>
  <si>
    <t>Maconomy requires dual budget entry ("contract budget" and "working budget"). Pricing models built in Excel then entered separately. EPM loaded manually even though data exists in Workday/Certinia. Frequent budget changes within SOWs (Evoke).</t>
  </si>
  <si>
    <t>Timesheet / Timecard</t>
  </si>
  <si>
    <t>A record of hours worked by an individual against a specific project, task, and date. The primary input for T&amp;M billing and utilisation reporting.</t>
  </si>
  <si>
    <t>Timecard ID, Employee, Project, Task, Date, Hours, Billable Flag, Approval Status, Submitted Date, Approved By</t>
  </si>
  <si>
    <t>What is the submission deadline (e.g. every Friday by 5pm?)?
What is the maximum retrospective correction period (e.g. current month only?)?
What threshold of missing timesheets triggers automated escalation?
Should non-billable time categories be standardised across divisions?</t>
  </si>
  <si>
    <t>Certinia (Ignite)
Maconomy (Evoke/Engage)
Oracle PPM (Medical — UK only)
Excel (Medical — other geos)</t>
  </si>
  <si>
    <t>RevOps spends significant time chasing and reviewing submissions. Users cannot self-correct in some systems — must raise tickets (Maconomy) or email finance. Medical uses different systems by geography. No standardised non-billable categories.</t>
  </si>
  <si>
    <t>Expense</t>
  </si>
  <si>
    <t>Out-of-pocket costs incurred by staff and charged to a project (travel, accommodation, materials, etc.).</t>
  </si>
  <si>
    <t>Expense ID, Employee, Project, Category, Amount, Currency, Date, Receipt Flag, Billable/Non-Billable, Client Reimbursable, Approval Status</t>
  </si>
  <si>
    <t>What expense categories are billable to clients vs. absorbed internally?
What is the per-item approval threshold (e.g. &gt;$500 requires manager sign-off?)?
What is the maximum claim period (e.g. within 60 days of incurrence?)?
Should passthrough expenses follow a different approval path?</t>
  </si>
  <si>
    <t>Concur (most divisions)
Certinia expense module (Ignite)
Oracle (Medical)</t>
  </si>
  <si>
    <t>Concur used but not integrated cleanly across all divisions. Ignite uses Certinia expense reports, not Concur. Varying expense systems across divisions AND geographies.</t>
  </si>
  <si>
    <t>Milestone</t>
  </si>
  <si>
    <t>A defined deliverable or progress marker within a project that may trigger billing, revenue recognition, or client approval.</t>
  </si>
  <si>
    <t>Milestone ID, Project, Description, Type (Billing/Revenue/Delivery), Target Date, Actual Date, Value, Status, Client Acceptance Required, Approved By</t>
  </si>
  <si>
    <t>Should billing milestones and revenue milestones be treated as the same or separate entities?
What evidence constitutes "client acceptance" — email, portal sign-off, formal letter?
What is the tolerance for milestone date slippage before escalation?
Can milestones be partially completed?</t>
  </si>
  <si>
    <t>Certinia (Ignite — partial)
Maconomy (Evoke/Engage — manual)
Oracle PPM (Medical — no milestones)</t>
  </si>
  <si>
    <t>Medical sends milestone progress via Excel to finance for upload. Certinia not configured to support revenue recognition on milestones for all entities. No automated milestone triggers. Finance manually marks milestones and validates revenue readiness.</t>
  </si>
  <si>
    <t>4. Revenue Recognition</t>
  </si>
  <si>
    <t>Revenue Event</t>
  </si>
  <si>
    <t>A transaction that records earned revenue against a project, applying the appropriate recognition method (over time, point in time, percentage of completion).</t>
  </si>
  <si>
    <t>Revenue Event ID, Project, Period, Recognition Method, Gross Amount, Adjustment Amount, Net Amount, Status, Journal Reference, Approval Status</t>
  </si>
  <si>
    <t>Which recognition method applies by fee type — T&amp;M (as delivered), Fixed Fee (POC or milestone), Hybrid?
What is the minimum revenue event threshold to avoid micro-postings (e.g. &gt;$100?)?
What constitutes a "material" revenue adjustment requiring senior approval?
How should intercompany revenue be recognised — at contract or delivery entity level?</t>
  </si>
  <si>
    <t>Certinia (Ignite — partially automated)
Maconomy (Evoke/Engage — manual)
Oracle (Medical — manual POC files)</t>
  </si>
  <si>
    <t>Revenue recognition requires manual intervention across all divisions. Certinia not configured for milestone-based rev rec in all Ignite entities. Lack of reasonableness checks (Evoke). Medical uses manual POC files. Approaches vary: billing milestones vs. revenue milestones vs. time-based.</t>
  </si>
  <si>
    <t>Accrued / Deferred Revenue</t>
  </si>
  <si>
    <t>Revenue recognised but not yet billed (accrued) or billed but not yet earned (deferred). Critical for accurate financial reporting.</t>
  </si>
  <si>
    <t>Project, Period, Accrued Amount, Deferred Amount, Ageing Bucket, Reason Code, Resolution Owner, Expected Resolution Date</t>
  </si>
  <si>
    <t>What ageing threshold triggers review of accrued revenue (e.g. &gt;60 days unbilled?)?
What deferred revenue balance requires escalation?
How should OA (on account) / parent invoicing impact accrual treatment?
What is the maximum period revenue can remain accrued before write-off review?</t>
  </si>
  <si>
    <t>Certinia (Ignite)
Maconomy (Evoke/Engage)
Oracle (Medical)</t>
  </si>
  <si>
    <t>Accrued and deferred revenue builds up due to OA invoicing or parent invoicing (Evoke). Revenue recognised at sub-project level but billings need offsetting. Passthrough cost and revenue not cleanly handled — Certinia set up before material passthrough volumes existed.</t>
  </si>
  <si>
    <t>5. Invoicing &amp; Billing</t>
  </si>
  <si>
    <t>A formal billing document issued to the client for services rendered, based on agreed milestones, time &amp; materials, or fixed-fee schedules.</t>
  </si>
  <si>
    <t>Invoice Number, Client, Project, PO Reference, Invoice Date, Due Date, Currency, Line Items, Gross Amount, Tax, Net Amount, Status, Delivery Method</t>
  </si>
  <si>
    <t>What is the minimum invoice value to issue (e.g. &gt;$500? &gt;$1,000?)?
What is the standard payment term by client tier (e.g. Net 30, Net 45, Net 60?)?
Should draft invoices require business approval or only GFS quality review?
What is the maximum number of line items per invoice before splitting?</t>
  </si>
  <si>
    <t>Certinia (Ignite)
Maconomy (Evoke/Engage)
Oracle AR (Medical)
Client portals (Tungsten, Ariba, etc.)</t>
  </si>
  <si>
    <t>No automatic invoice generation in Evoke. Invoice creation still requires manual user action in Certinia. 50%+ portal-based submission for Engage. Invoicing is a mix of hours, supplier costs, milestones, and software utilisation. Manual portal entry for large volumes.</t>
  </si>
  <si>
    <t>Billing Plan / Schedule</t>
  </si>
  <si>
    <t>The planned invoicing schedule for a project, defining when and how much will be billed over the engagement lifecycle.</t>
  </si>
  <si>
    <t>Plan ID, Project, Billing Frequency, Milestone Schedule, Planned Amount per Period, Currency, Fee Type, PO Linkage, Status</t>
  </si>
  <si>
    <t>Should billing plans be mandatory for all projects or only above a threshold (e.g. &gt;$25k?)?
What is the standard billing frequency by fee type (T&amp;M = monthly, Fixed = milestone?)?
What tolerance for billing plan vs. actual invoicing variance before review?
How should "billing on behalf" (intercompany) plans be structured?</t>
  </si>
  <si>
    <t>Certinia (Ignite)
Maconomy (Evoke — invoicing plan module)
Oracle (Medical)</t>
  </si>
  <si>
    <t>Maconomy invoicing plan module exists but if invoicing is not raised through it, amounts appear unbilled. Tickbox needed to flag manual invoicing. Different bill plan structures across divisions.</t>
  </si>
  <si>
    <t>6. Collections</t>
  </si>
  <si>
    <t>Payment / Cash Receipt</t>
  </si>
  <si>
    <t>A payment received from a client against one or more outstanding invoices. Must be matched and applied to clear AR balances.</t>
  </si>
  <si>
    <t>Payment ID, Client, Amount, Currency, Payment Date, Payment Method, Bank Reference, Applied Invoice(s), Unapplied Amount, Status</t>
  </si>
  <si>
    <t>What is the auto-match tolerance for payment-to-invoice matching (e.g. within $1? within 1%?)?
What is the target DSO (Days Sales Outstanding) by division?
How should partial payments be allocated — oldest invoice first or pro-rata?
What payment ageing triggers escalation to collections?</t>
  </si>
  <si>
    <t>Oracle Fusion (cash application)
Certinia (payment feeds)
Bank integrations</t>
  </si>
  <si>
    <t>Cash application happens in Oracle with feeds to Certinia. Hope Bot handles some automation but only operates Monday-Thursday. Treasury needs real-time cash receipting. GFS transition at different stages across divisions.</t>
  </si>
  <si>
    <t>AR Ageing / Dispute</t>
  </si>
  <si>
    <t>An outstanding receivable that is overdue or contested by the client, requiring investigation and resolution.</t>
  </si>
  <si>
    <t>Dispute ID, Invoice Reference, Client, Dispute Reason, Ageing Bucket (Current/30/60/90/120+), Amount, Owner, Status, Resolution Date, Credit Note Reference</t>
  </si>
  <si>
    <t>What ageing buckets should be reported (30/60/90/120+ days?)?
At what ageing threshold does a dispute require senior finance involvement (e.g. &gt;90 days?)?
What is the write-off authority limit by role (e.g. &lt;$5k = Finance Manager, &gt;$5k = Finance Director?)?
How should credit notes be linked to original invoices and POs?</t>
  </si>
  <si>
    <t>Oracle Fusion (AR)
Excel (cash forecasting — all divisions)
PFRM bolt-on (Medical)</t>
  </si>
  <si>
    <t>Split ownership between GFS and divisions for collections outreach. Cash forecasting entirely Excel-based. Client services unable to see payment status — "potentially due to licensing." Teams spend too much time identifying the right finance contact for cross-entity disputes.</t>
  </si>
  <si>
    <t>Cross-Cutting</t>
  </si>
  <si>
    <t>Intercompany Transaction</t>
  </si>
  <si>
    <t>A financial transaction between Inizio legal entities — e.g. when one entity delivers services under another entity's client contract.</t>
  </si>
  <si>
    <t>IC Transaction ID, Source Entity, Destination Entity, Project, Amount, Currency, Transfer Pricing Method, IC Invoice Reference, Elimination Status</t>
  </si>
  <si>
    <t>What transfer pricing method applies (cost-plus, market rate, pre-agreed %)?
How should intercompany revenue vs. cost be recognised — simultaneously or with a lag?
What is the maximum IC balance before mandatory netting/settlement?
Should IC invoices follow the same approval workflow as external?</t>
  </si>
  <si>
    <t>Certinia (Ignite)
Maconomy (Evoke/Engage)
Oracle Fusion (consolidation)</t>
  </si>
  <si>
    <t>Certinia does not natively support all required multi-entity revenue scenarios. Teams spend too much time identifying which entity owns the contract. Accrued/deferred/intercompany balances not properly aligned across entities.</t>
  </si>
  <si>
    <t>Passthrough Cost / Revenue</t>
  </si>
  <si>
    <t>Third-party costs incurred on behalf of a client (e.g. media spend, vendor costs, travel) that are passed through at cost or with a markup.</t>
  </si>
  <si>
    <t>Passthrough ID, Project, Vendor, Cost Amount, Markup %, Client Billable Amount, Cost Category, Invoice Linkage, Status</t>
  </si>
  <si>
    <t>What is the standard passthrough markup % (0%? 5%? 10%?)?
Should passthrough be included in project budget or tracked as a separate line?
What approval threshold applies for passthrough commitments (e.g. &gt;$10k?)?
How should passthrough revenue be recognised — when incurred or when billed?</t>
  </si>
  <si>
    <t>Certinia was set up before material passthrough volumes existed — configuration gaps. Manual allocation of passthrough costs across projects. Treatment varies significantly by division.</t>
  </si>
  <si>
    <t>Note: Business rules &amp; thresholds (amber column) are proposed starting points for workshop discussion — not final decisions. Known issues are drawn from WS1/WS2/WS3 workshop findings.</t>
  </si>
  <si>
    <t>Client Services (Innovation &amp; Growth)</t>
  </si>
  <si>
    <t>Client Services (BD team)</t>
  </si>
  <si>
    <t>Div. Finance (transitioning to GFS)</t>
  </si>
  <si>
    <t>Project Operations</t>
  </si>
  <si>
    <t>Operations / Div. Finance</t>
  </si>
  <si>
    <t>GFS (Oracle Support)</t>
  </si>
  <si>
    <t>Client Services / Legal</t>
  </si>
  <si>
    <t>Client Services (Account Managers)</t>
  </si>
  <si>
    <t>Client Services / Project Operations</t>
  </si>
  <si>
    <t>Client Services (BD / Account Managers)</t>
  </si>
  <si>
    <t>Client Services / Div. Finance</t>
  </si>
  <si>
    <t>Client Services / Operations (Resource Mgmt)</t>
  </si>
  <si>
    <t>Project Operations / Div. Finance</t>
  </si>
  <si>
    <t>Project Operations (Project Manager)</t>
  </si>
  <si>
    <t>Client Services (Innovation &amp; Growth) / Div. Finance</t>
  </si>
  <si>
    <t>Client Services (BD) / Div. Finance</t>
  </si>
  <si>
    <t>Operations (Resource Mgmt) / Div. Finance</t>
  </si>
  <si>
    <t>Operations (Resource Mgmt)</t>
  </si>
  <si>
    <t>Staffing / Div. Finance</t>
  </si>
  <si>
    <t>Operations / Project Operations</t>
  </si>
  <si>
    <t>Client Services (Innovation &amp; Growth) / Staffing</t>
  </si>
  <si>
    <t>Operations (Recruitment via Avature in EU)</t>
  </si>
  <si>
    <t>Operations (Project Management)</t>
  </si>
  <si>
    <t>Operations (Project Mgmt / Recruitment)</t>
  </si>
  <si>
    <t>Staffing / Client Services</t>
  </si>
  <si>
    <t>Operations / Client Services</t>
  </si>
  <si>
    <t>Project Operations / Client Services</t>
  </si>
  <si>
    <t>Staffing / Project Operations</t>
  </si>
  <si>
    <t>Div. Finance / Operations</t>
  </si>
  <si>
    <t>Project Operations / GFS</t>
  </si>
  <si>
    <t>Commercial Finance / Div. Finance</t>
  </si>
  <si>
    <t>To-be OTC Process Design (DRAFT - FOR DISCUSSION)</t>
  </si>
  <si>
    <t>As-Is
Owner
(EVOKE)</t>
  </si>
  <si>
    <t>As-Is
Owner
(IGNITE)</t>
  </si>
  <si>
    <t>As-Is
Owner
(ENGAGE)</t>
  </si>
  <si>
    <t>As-Is
Owner
(MEDICAL)</t>
  </si>
  <si>
    <t>3.1.6</t>
  </si>
  <si>
    <t>Missing Timesheet Reminder</t>
  </si>
  <si>
    <t>Timesheet Submitted?</t>
  </si>
  <si>
    <t>Determine whether timesheet was submitted timely and complete</t>
  </si>
  <si>
    <t>3.1.7</t>
  </si>
  <si>
    <t>Client Finance</t>
  </si>
  <si>
    <t>Revenue operations sends manual email reminders</t>
  </si>
  <si>
    <t>Revenue Operations</t>
  </si>
  <si>
    <t>3.1.8</t>
  </si>
  <si>
    <t>Resources can edit timesheets if the project is open and they're assigned to the project code; even if invoice is issued because billing is milestone-driven</t>
  </si>
  <si>
    <t>Timesheet Adjustment Required?</t>
  </si>
  <si>
    <t>Process Timesheet Adjustments</t>
  </si>
  <si>
    <t>3.4.1.1</t>
  </si>
  <si>
    <t>Forecast-to-Complete Calculation</t>
  </si>
  <si>
    <t>3.4.1.2</t>
  </si>
  <si>
    <t>Percentage of Completion (PoC) Update</t>
  </si>
  <si>
    <t>Submit Deliverables For Client Review</t>
  </si>
  <si>
    <t>3.4.2.5</t>
  </si>
  <si>
    <t>TBC</t>
  </si>
  <si>
    <t>Billing Trigger Condition Met?</t>
  </si>
  <si>
    <t>3.4.4.1</t>
  </si>
  <si>
    <t>3.4.4.2</t>
  </si>
  <si>
    <t>3.4.4.3</t>
  </si>
  <si>
    <t>Billing Event Creation</t>
  </si>
  <si>
    <t>To-be RACI –
Responsible</t>
  </si>
  <si>
    <t>To-be RACI –
Accountable</t>
  </si>
  <si>
    <t>To-be RACI –
Contributing</t>
  </si>
  <si>
    <t>Please review and enter comments in your respective column</t>
  </si>
  <si>
    <t>GFS Comments</t>
  </si>
  <si>
    <t>Evoke Comments</t>
  </si>
  <si>
    <t>Ignite Comments</t>
  </si>
  <si>
    <t>Engage Comments</t>
  </si>
  <si>
    <t>Medical Comments</t>
  </si>
  <si>
    <t>Nice to have (20, not 80)</t>
  </si>
  <si>
    <t>CONSIDER Client templates (Pfizer)</t>
  </si>
  <si>
    <t>COMMON ERROR: Incorrect LE (at agency level); match to SOW. Owner? SLA?</t>
  </si>
  <si>
    <t>OPEN: Medical - MSAs and Global Pos; no SOW)</t>
  </si>
  <si>
    <t>Purpose: Facilitate alignment on core data definitions, business rules, and thresholds across Divisions</t>
  </si>
  <si>
    <t>6.3.1.1</t>
  </si>
  <si>
    <t>6.3.1.2</t>
  </si>
  <si>
    <t>6.3.1.3</t>
  </si>
  <si>
    <t>EPM</t>
  </si>
  <si>
    <t>AR &amp; Cash Data Refresh</t>
  </si>
  <si>
    <t>Direct Cash Forecast (Weekly)</t>
  </si>
  <si>
    <t>Indirect Cash Forecast (Quarterly)</t>
  </si>
  <si>
    <t>6.3.2.1</t>
  </si>
  <si>
    <t>Actual Cash Receipts Update</t>
  </si>
  <si>
    <t>6.3.2.2</t>
  </si>
  <si>
    <t>Investigate &amp; Explain Material Variances</t>
  </si>
  <si>
    <t>6.3.2.3</t>
  </si>
  <si>
    <t>6.3.2.4</t>
  </si>
  <si>
    <t>Direct Forecast Variance Analysis</t>
  </si>
  <si>
    <t>Indirect Forecast Variance Analysis</t>
  </si>
  <si>
    <t>Risk &amp; Collections Issue Identification</t>
  </si>
  <si>
    <t>Submit Forecast to Central Finance / Treasury</t>
  </si>
  <si>
    <t>6.3.3.1</t>
  </si>
  <si>
    <t>6.3.3.2</t>
  </si>
  <si>
    <t>6.3.3.3</t>
  </si>
  <si>
    <t>6.3.3.4</t>
  </si>
  <si>
    <t>Direct Cash Forecast Reporting (Weekly)</t>
  </si>
  <si>
    <t>Indirect Cash Forecast Reporting (Quarterly)</t>
  </si>
  <si>
    <t>6.1.1.1</t>
  </si>
  <si>
    <t>Segment &amp; Prioritise Outstanding Balances</t>
  </si>
  <si>
    <t>6.1.2.1</t>
  </si>
  <si>
    <t>6.1.2.2</t>
  </si>
  <si>
    <t>6.1.2.3</t>
  </si>
  <si>
    <t>Import Bank Statement / Payment Data</t>
  </si>
  <si>
    <t>Match Payments to Invoices</t>
  </si>
  <si>
    <t>Cash Application</t>
  </si>
  <si>
    <t>ERP / AR Tool</t>
  </si>
  <si>
    <t>6.1.2.4</t>
  </si>
  <si>
    <t>Investigate Short / Over / Unmatched Payments</t>
  </si>
  <si>
    <t>6.1.4.1</t>
  </si>
  <si>
    <t>6.1.4.2</t>
  </si>
  <si>
    <t>6.1.4.3</t>
  </si>
  <si>
    <t>Root Cause Investigation</t>
  </si>
  <si>
    <t>Resolution Processing</t>
  </si>
  <si>
    <t>Record Resolution</t>
  </si>
  <si>
    <t>6.1.4.4</t>
  </si>
  <si>
    <t>6.1.5.1</t>
  </si>
  <si>
    <t>6.1.5.2</t>
  </si>
  <si>
    <t>6.1.5.3</t>
  </si>
  <si>
    <t>Reconcile AR Sub-Ledger to General Ledger</t>
  </si>
  <si>
    <t>Resolve Reconciliation Differences</t>
  </si>
  <si>
    <t>Confirm AR Balance for Period Close</t>
  </si>
  <si>
    <t>6.2.1.1</t>
  </si>
  <si>
    <t>6.2.1.2</t>
  </si>
  <si>
    <t>Overdue Receivables Identification</t>
  </si>
  <si>
    <t>Collections Prioritisation</t>
  </si>
  <si>
    <t>ERP / Collections Tool</t>
  </si>
  <si>
    <t>Outreach Tracking Update</t>
  </si>
  <si>
    <t>6.2.2.1</t>
  </si>
  <si>
    <t>6.2.2.2</t>
  </si>
  <si>
    <t>6.2.2.3</t>
  </si>
  <si>
    <t>Automated Payment Reminder</t>
  </si>
  <si>
    <t>ERP / Collections Tool / Email/Phone</t>
  </si>
  <si>
    <t>Email / Phone</t>
  </si>
  <si>
    <t>Dispute Logging</t>
  </si>
  <si>
    <t>Dispute Investigation</t>
  </si>
  <si>
    <t>Dispute Resolution Processing</t>
  </si>
  <si>
    <t>Close Dispute &amp; Update AR</t>
  </si>
  <si>
    <t>6.2.5.1</t>
  </si>
  <si>
    <t>6.2.5.2</t>
  </si>
  <si>
    <t>Document Escalation Outcome &amp; Next Steps</t>
  </si>
  <si>
    <t>Escalation Trigger Identification</t>
  </si>
  <si>
    <t>Internal Escalation Initiation</t>
  </si>
  <si>
    <t>6.2.6.1</t>
  </si>
  <si>
    <t>6.2.6.2</t>
  </si>
  <si>
    <t>Payment Commitment Capture</t>
  </si>
  <si>
    <t>Commitment Monitoring</t>
  </si>
  <si>
    <t>6.2.8.1</t>
  </si>
  <si>
    <t>6.2.8.2</t>
  </si>
  <si>
    <t>6.2.8.3</t>
  </si>
  <si>
    <t>Monitor for Resolution &amp; Remove Hold</t>
  </si>
  <si>
    <t>Apply Credit Hold</t>
  </si>
  <si>
    <t>Escalation Outreach</t>
  </si>
  <si>
    <t>4.1.1.1</t>
  </si>
  <si>
    <t>4.1.1.2</t>
  </si>
  <si>
    <t>Initiate Period-End Revenue Cycle</t>
  </si>
  <si>
    <t>Identify Revenue Recognition Method by Project</t>
  </si>
  <si>
    <t>Manual month-end process. No automated trigger.</t>
  </si>
  <si>
    <t>Month-end analysis process. Revenue cycle initiated as part of Certinia month-end.</t>
  </si>
  <si>
    <t>Manual month-end process. Last 5 days of month very busy with large contracts.</t>
  </si>
  <si>
    <t>Triggered by POC file review cycle.</t>
  </si>
  <si>
    <t>Personnel costs ~90% automated. Remaining ~10% manually calculated. Method varies by entity and Certinia configuration.</t>
  </si>
  <si>
    <t>Manual determination. Actuals for first 25 days + estimates for last 5 days. Different for pre-billed vs actual engagements.</t>
  </si>
  <si>
    <t>POC-based for most. Percentages back-worked from amounts. Manual completion % entry for mid-tier projects ($10K-$150K).</t>
  </si>
  <si>
    <t>Maconomy aging not always source of truth for collections. Additional reports generated outside system.</t>
  </si>
  <si>
    <t>AR aging generated from Oracle with data fed back to Certinia. Visibility limited by finance licence access.</t>
  </si>
  <si>
    <t>AR aging from Oracle. GFS only covers US/UK/Ireland/Canada; other countries managed by local finance.</t>
  </si>
  <si>
    <t>AR aging from Oracle. Collections moving to GFS — AMC UK and US already within GFS.</t>
  </si>
  <si>
    <t>Cash application in Oracle. Friday cash received is manually applied due to bank statement import timing lag.</t>
  </si>
  <si>
    <t>Cash application through Oracle. Monthly operating cash meetings with group CFO/CEO.</t>
  </si>
  <si>
    <t>Matching done outside Maconomy. Reconciliation occurs outside primary billing system.</t>
  </si>
  <si>
    <t>Matching in Oracle. Payment status fed back to Certinia but visibility limited. Manual matching for unidentified receipts.</t>
  </si>
  <si>
    <t>Matching in Oracle. Cross-entity payments add complexity.</t>
  </si>
  <si>
    <t>Matching in Oracle. Manual portal checks for payment confirmation.</t>
  </si>
  <si>
    <t>No automated reminders. GFS handles collections outreach manually.</t>
  </si>
  <si>
    <t>GFS uses Certinia for initial outreach. No automated reminder system.</t>
  </si>
  <si>
    <t>US: Dawn's team chases for first 5 days then escalates to Engage Finance.</t>
  </si>
  <si>
    <t>GFS informs local teams. Collections managed by GFS with manual outreach.</t>
  </si>
  <si>
    <t>Division involved in dispute resolution. Collections linked to invoice quality. No structured dispute log in Certinia.</t>
  </si>
  <si>
    <t>Finance team has direct client relationship for dispute resolution. Escalation via calls, emails.</t>
  </si>
  <si>
    <t>GFS handles initial dunning. Escalation to divisional finance for client-specific issues.</t>
  </si>
  <si>
    <t>No credit note mechanism documented in Certinia. Amount errors require destructive restart of billing process.</t>
  </si>
  <si>
    <t>Evoke re-engages on escalations and disputes that require client relationship leverage.</t>
  </si>
  <si>
    <t>GFS handles initial escalations. Division still involved when further escalation needed. Direct client relationship held by divisional team.</t>
  </si>
  <si>
    <t>US: Dawn's team chases first then escalates to Engage Finance (local finance, not delivery team).</t>
  </si>
  <si>
    <t>GFS informs local teams but works directly with ops teams for escalation.</t>
  </si>
  <si>
    <t>No dedicated Evoke cash forecasting process. Reliant on GFS for collection reporting.</t>
  </si>
  <si>
    <t>Data extracted from Certinia and Oracle. Manual compilation in Excel. Bank statement import timing creates workarounds.</t>
  </si>
  <si>
    <t>Data from Oracle Fusion. Multiple forecast types: weekly, monthly, 3-month rolling.</t>
  </si>
  <si>
    <t>PRFM for revenue forecasting. Cash data extracted from Oracle. Working on automating AP/AR ledger data.</t>
  </si>
  <si>
    <t>No Evoke-specific cash forecast. Reliant on GFS collections reports.</t>
  </si>
  <si>
    <t>Excel-based cash forecast. Weekly direct reporting. Fed into group reporting separately from project/revenue data.</t>
  </si>
  <si>
    <t>Weekly, monthly, and 3-month forecasts all done manually in Excel. Separate group and treasury forecasts.</t>
  </si>
  <si>
    <t>Cash forecasting in Excel. PRFM bolt-on used. Working on automating forecast.</t>
  </si>
  <si>
    <t>PowerBI reporting on Certinia data. Cash forecasting separate in Excel. Multiple report packs: group, treasury, divisional.</t>
  </si>
  <si>
    <t>Excel-based reporting. Multiple formats required: group, treasury, client-specific (e.g. J&amp;J caps).</t>
  </si>
  <si>
    <t>PRFM for reporting. Manual bolt-on forecasting tool.</t>
  </si>
  <si>
    <t>4.1.2.1</t>
  </si>
  <si>
    <t>4.1.2.2</t>
  </si>
  <si>
    <t>4.1.2.3</t>
  </si>
  <si>
    <t>T&amp;M: Validate Approved Timecards &amp; Rates</t>
  </si>
  <si>
    <t>Finance validates using timesheet data from Maconomy. No automated readiness check.</t>
  </si>
  <si>
    <t>Timecards validated in Certinia. Personnel costs ~90% automated. Utilisation tracking cross-referenced.</t>
  </si>
  <si>
    <t>Timecards validated in Oracle Fusion. Kristen's team reviews variance using BPM report.</t>
  </si>
  <si>
    <t>Limited T&amp;M. Where applicable, timecards validated in Oracle PPM.</t>
  </si>
  <si>
    <t>Ops send Excel to finance for % complete uploads. Manual process.</t>
  </si>
  <si>
    <t>No automated validation. Finance reviews project progress manually.</t>
  </si>
  <si>
    <t>POC files ingested into Power Query. Manual completion % entry required for mid-tier projects ($10K-$150K).</t>
  </si>
  <si>
    <t>Passthrough treatment varies. Not always clearly separated from professional fees.</t>
  </si>
  <si>
    <t>Passthrough costs generate both cost and revenue transactions in Certinia. Treatment varies by entity.</t>
  </si>
  <si>
    <t>Cross-divisional work adds complexity. Passthrough treatment varies by client agreement.</t>
  </si>
  <si>
    <t>Significant passthrough costs (market research, honoraria). Manual reconciliation required.</t>
  </si>
  <si>
    <t>4.1.4.1</t>
  </si>
  <si>
    <t>Investigate Revenue Exception</t>
  </si>
  <si>
    <t>4.1.4.2</t>
  </si>
  <si>
    <t>Resolve Missing or Incorrect Data</t>
  </si>
  <si>
    <t>4.1.4.3</t>
  </si>
  <si>
    <t>Obtain Re-Approval if Required</t>
  </si>
  <si>
    <t>4.1.1.3</t>
  </si>
  <si>
    <t>Revenue Treatment Routing</t>
  </si>
  <si>
    <t>Route transactions to appropriate revenue calculation logic based on method</t>
  </si>
  <si>
    <t>Automated for T&amp;M but manual for fixed fee and milestone</t>
  </si>
  <si>
    <t>No systematic routing by commercial model.</t>
  </si>
  <si>
    <t>4.1.1.4</t>
  </si>
  <si>
    <t>Contract &amp; Revenue Rule Validation</t>
  </si>
  <si>
    <t>Determine whether there is missing, incomplete or inconsistent data (e.g., timing differences)</t>
  </si>
  <si>
    <t>Where corrections change revenue amounts or treatment, obtain re-approval from appropriate authority before proceeding</t>
  </si>
  <si>
    <t>4.1.5.1</t>
  </si>
  <si>
    <t>4.1.5.2</t>
  </si>
  <si>
    <t>4.1.5.3</t>
  </si>
  <si>
    <t>4.1.5.4</t>
  </si>
  <si>
    <t>4.1.5.5</t>
  </si>
  <si>
    <t>Calculate Accrued &amp; Deferred Revenue</t>
  </si>
  <si>
    <t>Automated for T&amp;M in Maconomy. Revenue = timecard hours × rates.</t>
  </si>
  <si>
    <t>~90% automated for personnel costs in Certinia. Remaining ~10% manually calculated.</t>
  </si>
  <si>
    <t>Calculated in Oracle Fusion using rate card. Actuals for first 25 days, estimates for last 5.</t>
  </si>
  <si>
    <t>Limited T&amp;M. Where applicable, calculated from Oracle PPM timecards.</t>
  </si>
  <si>
    <t>Manual for fixed fee. Ops send Excel for % complete uploads to finance.</t>
  </si>
  <si>
    <t>Calculated through month-end analysis in Certinia. Different approaches per entity.</t>
  </si>
  <si>
    <t>Manual calculation by Engage Finance. Variance analysis using Oracle BPM report.</t>
  </si>
  <si>
    <t>POC files ingested into Power Query. Percentages back-worked from amounts. Discrepancies tracked in PRFM.</t>
  </si>
  <si>
    <t>Deferred billing managed within Maconomy. Bulk uploads from Excel for certain adjustments.</t>
  </si>
  <si>
    <t>Accruals/deferrals managed through month-end analysis in Certinia.</t>
  </si>
  <si>
    <t>Pre-billing at start of month creates timing differences. Reconciled at month-end.</t>
  </si>
  <si>
    <t>PRFM reconciles against Oracle for discrepancies. Manual tracking.</t>
  </si>
  <si>
    <t>4.1.6.1</t>
  </si>
  <si>
    <t>Prepare Revenue Journal Entries</t>
  </si>
  <si>
    <t>4.1.6.2</t>
  </si>
  <si>
    <t>Route Journals for Approval</t>
  </si>
  <si>
    <t>4.1.7.1</t>
  </si>
  <si>
    <t>4.1.7.2</t>
  </si>
  <si>
    <t>Determine whether journal entry is approved for posting. If journal is rejected, return to preparer with rejection reason</t>
  </si>
  <si>
    <t>Journal Approved?</t>
  </si>
  <si>
    <t>4.1.8.1</t>
  </si>
  <si>
    <t>4.1.8.2</t>
  </si>
  <si>
    <t>Journal Entry Posting</t>
  </si>
  <si>
    <t>Deferred / Accrued Balance Update</t>
  </si>
  <si>
    <t>Journal Entry Review &amp; Approval</t>
  </si>
  <si>
    <t>4.2.1.1</t>
  </si>
  <si>
    <t>4.2.2.1</t>
  </si>
  <si>
    <t>Commercial Finance</t>
  </si>
  <si>
    <t>4.2.2.2</t>
  </si>
  <si>
    <t>Rebate coordination between commercial team and div finance. Approval path depends on entity.</t>
  </si>
  <si>
    <t>Monthly manual FTE report from Oracle data used for rebate calculation. Difficult to change client agreements.</t>
  </si>
  <si>
    <t>Revenue adjustment files uploaded from Excel. No system-driven adjustment triggers.</t>
  </si>
  <si>
    <t>Rebates: commercial team analyses amount billed, coordinates with div finance. Processed in Oracle or Certinia.</t>
  </si>
  <si>
    <t>Rebate issues with large clients (e.g. J&amp;J). Group wants changes to agreements but difficult to negotiate.</t>
  </si>
  <si>
    <t>Rebates relatively easy to process. Volume rebates done by Liz's team.</t>
  </si>
  <si>
    <t>4.2.3.1</t>
  </si>
  <si>
    <t>4.2.3.2</t>
  </si>
  <si>
    <t>Journal Entry Review</t>
  </si>
  <si>
    <t>4.2.6.1</t>
  </si>
  <si>
    <t>4.2.6.3</t>
  </si>
  <si>
    <t>Project Close &amp; Reporting</t>
  </si>
  <si>
    <t>7</t>
  </si>
  <si>
    <t>7.1</t>
  </si>
  <si>
    <t>Project Close Activities</t>
  </si>
  <si>
    <t>Executive Insights &amp; KPIs</t>
  </si>
  <si>
    <t>Client Reporting</t>
  </si>
  <si>
    <t>7.1.1</t>
  </si>
  <si>
    <t>Financial Close-Out</t>
  </si>
  <si>
    <t>Final Revenue &amp; Cost Reconciliation</t>
  </si>
  <si>
    <t>Release / Write-Off Accruals &amp; Deferrals</t>
  </si>
  <si>
    <t>7.1.2</t>
  </si>
  <si>
    <t>ERP / PSA</t>
  </si>
  <si>
    <t>Revenue &amp; Cost Completion Check</t>
  </si>
  <si>
    <t>Billing Completion Check</t>
  </si>
  <si>
    <t>Unbilled / Unposted Item Identification</t>
  </si>
  <si>
    <t>Open Items Resolution</t>
  </si>
  <si>
    <t>Project Closure Approval</t>
  </si>
  <si>
    <t>Project Status Update</t>
  </si>
  <si>
    <t>Closure Approval</t>
  </si>
  <si>
    <t>Closure Review</t>
  </si>
  <si>
    <t>Project Closure Status Update</t>
  </si>
  <si>
    <t>Financial Closure Status Update</t>
  </si>
  <si>
    <t>Closure Notification</t>
  </si>
  <si>
    <t>Archive Project Documentation</t>
  </si>
  <si>
    <t>7.2.1</t>
  </si>
  <si>
    <t>7.2.1.1</t>
  </si>
  <si>
    <t>7.2.1.2</t>
  </si>
  <si>
    <t>7.3.1</t>
  </si>
  <si>
    <t>Client Report Preparation</t>
  </si>
  <si>
    <t>Report Validation &amp; Approval</t>
  </si>
  <si>
    <t>Report Distribution</t>
  </si>
  <si>
    <t>Email / Client Portal</t>
  </si>
  <si>
    <t>Lock Time, Expense &amp; Billing Entry</t>
  </si>
  <si>
    <t>Project Financial Summary</t>
  </si>
  <si>
    <t>Calculate Margin &amp; Utilisation Metrics</t>
  </si>
  <si>
    <t>Contract Compliance Review</t>
  </si>
  <si>
    <t>Verify All Contractual Obligations Met</t>
  </si>
  <si>
    <t>Confirm No Outstanding Amendments or Change Orders</t>
  </si>
  <si>
    <t>Customer setup done in HubSpot by innovation &amp; growth team (not div finance). Contract setup also in HubSpot by account managers. Dual sync between HubSpot and Certinia required. No CLM or e-signature tools in use; contracts stored across HubSpot, Certinia, and HighQ with no single source of truth.</t>
  </si>
  <si>
    <t>No CLM tool. Contracts stored across multiple repositories (HubSpot, Certinia, HighQ). Identifying the correct MSA/SOW combination relies on team knowledge. No DocuSign - manual signature process.</t>
  </si>
  <si>
    <t>Highly manual process through creation of POC files. PMs fill in manually which is then ingested back through PowerQuery into a normalised layer for reporting and billing triggers</t>
  </si>
  <si>
    <t>Innovation &amp; Growth team / Operations</t>
  </si>
  <si>
    <t>KM: For Comms, at the end of the month our EVP of Growth sends out a chart for all deals within Hubspot that are considered qualifed. The value on the report has an annulized value and the expected close date. This is added into the financial packs and into Oracle project submission.
KV: We’re currently developing a report to come from HubSpot to feed into a Power BI dashboard for revenue forecasting.</t>
  </si>
  <si>
    <t>MM: Correction to Column I: SOW's stored by Project (not by client)</t>
  </si>
  <si>
    <t>KV: MSAs and SOWs are executed via DocuSign, Adobe Sign, etc., with signature requests initiated either by the client or by Evoke.</t>
  </si>
  <si>
    <t xml:space="preserve">CH: Scope changes are common month to month. </t>
  </si>
  <si>
    <t>KM: Column F:SOW's are not stored in Hubspot</t>
  </si>
  <si>
    <t xml:space="preserve">KM: Column I: this is Div Finance for Comms. </t>
  </si>
  <si>
    <t>CH: Subprojects at times are setup prior to any formal scope as work may haved KO</t>
  </si>
  <si>
    <t>CH: Billing readiness should be tied to the contract and scheduled billing rather than an individual project actuals</t>
  </si>
  <si>
    <t>KV: We have established a missing timesheet dashboard in Power BI and recently implemented restricted system access for missing timesheets.</t>
  </si>
  <si>
    <t xml:space="preserve">KM Column I: for Comms this is done by Client finance working along side with account team. </t>
  </si>
  <si>
    <t>KM Column I: Invoice plan is implemented where possible to allow for a more structure billing where milestones and billing schedules are set with the client and outlined in SOW's.</t>
  </si>
  <si>
    <t>All SOW's, Change Orders and PO's are stored in Maconomy. MSAs stored in HighQ, SOWs in Maconomy and finance folders. Contract creation is entirely manual. 70% of clients use SOW templates within MSA; 30% use internal templates. Move to centralise contracts in Ireland is underway but incomplete.</t>
  </si>
  <si>
    <t xml:space="preserve">Manual Excel forecast pack. No demand forecasting done (only revenue). Forecast deviations identified manually. Revenue forecast done in Excel, not in a system-based tool. </t>
  </si>
  <si>
    <t>Pipeline in HubSpot for new business; Excel for existing accounts. No automated feed into forecasting model. For Comms, at EoM the EVP of Growth sends out a chart for all deals within Hubspot that are considered qualifed. The value on the report has an annulized value and the expected close date. This is added into the financial packs and into Oracle project submission. Team are currently developing a report to come from HubSpot to feed into a Power BI dashboard for revenue forecasting.</t>
  </si>
  <si>
    <t>Addressed</t>
  </si>
  <si>
    <t>No CLM. MSAs stored in HighQ; SOWs in Maconomy per project. Larger clients propose their own contract templates. No e-signature integration. Contract routing is manual.</t>
  </si>
  <si>
    <t>MSAs and SOWs are executed via DocuSign, Adobe Sign, etc., with signature requests initiated either by the client or by Evoke.</t>
  </si>
  <si>
    <t>Project template selected manually in Maconomy. PM assigns customer, department, project group manually. No pre-loading from contract capture. For Comms this is done by divisional finance</t>
  </si>
  <si>
    <t>Subprojects may be created based on SOW/tactic structure. Signed scope uploaded for audit. Manual setup of metadata (therapy area, classification). Subprojects can be setup before project formally starts</t>
  </si>
  <si>
    <t>Budgets often at subproject level. Budget values need entry in both contract and working budget fields (duplicate entry). PM  / Div. Finance (Comms) submits for approval but notifications are not fully system-driven.
Formal SOWs are not resubmitted for budget changes as is. This can be done through a recon meeting and email from the client for zero reallocation budget changes</t>
  </si>
  <si>
    <t>Client Finance manually checks for outstanding timesheets. Finance have recently established a missing timesheet dashboard in Power BI and recently implemented restricted system access for missing timesheets.</t>
  </si>
  <si>
    <t xml:space="preserve">Ops must send Excel file to finance for bulk upload of % complete milestones - cannot update progress directly in Maconomy. Revenue recognition manual for fixed fee/milestone work.
For Comms this is done by Client finance working along side with account team. </t>
  </si>
  <si>
    <t>Invoice plan is implemented where possible to allow for a more structure billing where milestones and billing schedules are set with the client and outlined in SOW's</t>
  </si>
  <si>
    <t>2.1.4.2</t>
  </si>
  <si>
    <t>Div. Finance (Comms) / Client Services &amp; PM (Creative) - Div. Finance (Approvals - creative)</t>
  </si>
  <si>
    <t>5.1.1.2</t>
  </si>
  <si>
    <t>Identify Billing Pathway</t>
  </si>
  <si>
    <t>Primarily T&amp;M engagements. Some scheduled billing for retainer-style work. Billing pathway determined informally by project type.</t>
  </si>
  <si>
    <t>Vynamic: T&amp;M and Fixed Fee both common. Putnam: 99% Fixed Fee. Billing pathway depends on entity and deal structure in Certinia.</t>
  </si>
  <si>
    <t>Mix of T&amp;M and Fixed Fee. Pre-bill / actuals model adds complexity. Billing pathway not systematically determined.</t>
  </si>
  <si>
    <t>Primarily Fixed Fee / Milestone-based via POC files. Some T&amp;M for specific advisory engagements.</t>
  </si>
  <si>
    <t>Timecards in Maconomy. No formal submission deadline enforced. Hours delimited manually for billing.</t>
  </si>
  <si>
    <t>Timecards due 4 business days before EOM. Account manager reviews 2-3 days before EOM. T&amp;M Overview Excel used for tracking.</t>
  </si>
  <si>
    <t>Timecards in Oracle Fusion. Submission timing varies. Monthly cycle with start-of-month pre-billing and end-of-month actuals.</t>
  </si>
  <si>
    <t>Timecards in Oracle PPM. No formal T&amp;M billing trigger — POC file review is the primary trigger even for time-based work.</t>
  </si>
  <si>
    <t>No automated milestone triggers. Finance uploads Excel milestone data manually. Billing triggered by manual coordination.</t>
  </si>
  <si>
    <t>No automated triggers in Fusion. Billing triggered when ops confirm deliverable completion, typically via email.</t>
  </si>
  <si>
    <t>POC files are the trigger. Ops review project progress against POC and notify finance when billing is due. Highly manual.</t>
  </si>
  <si>
    <t>Milestone completion in Certinia triggers billing. PowerBI pulls out what milestones are ready to be billed based on Planned milestone date and actual milestone date achieved in Certinia. Setting Actual Date on milestone auto-transitions to Approved status — acts as the trigger. Risk of accidental triggering.</t>
  </si>
  <si>
    <t>5.1.2.1</t>
  </si>
  <si>
    <t>5.1.2.2</t>
  </si>
  <si>
    <t>5.1.2.3</t>
  </si>
  <si>
    <t>T&amp;M: Billing Input Validation</t>
  </si>
  <si>
    <t>5.1.2.4</t>
  </si>
  <si>
    <t>5.1.2.5</t>
  </si>
  <si>
    <t>PO checked manually. No system-enforced PO validation gate. PO data may be in Maconomy or client portal.</t>
  </si>
  <si>
    <t>PO validated on Certinia Operations tab under Budget. If no PO, billing must stop. Part of Pre-Drafting Checklist.</t>
  </si>
  <si>
    <t>PO validated manually. PO balance not easily visible in Fusion. Manual tracking in Excel.</t>
  </si>
  <si>
    <t>No way to find remaining PO balance in Oracle PPM. Excel trackers used to monitor PO consumption.</t>
  </si>
  <si>
    <t>Manual reconciliation of hours. T&amp;M users delimit hours and align actuals to invoice content manually.</t>
  </si>
  <si>
    <t>T&amp;M Overview Excel reconciled against Certinia timecards at project and team member level. Client-specific rate cards applied. Discrepancies require Admin Edit to timecards.</t>
  </si>
  <si>
    <t>Rate card applied in Fusion. Reconciliation done in Excel extracted from Fusion. Start-of-month estimates reconciled to end-of-month actuals.</t>
  </si>
  <si>
    <t>Limited T&amp;M billing. Where applicable, timecard data reconciled manually against Excel trackers.</t>
  </si>
  <si>
    <t>SOW billing schedule tracked manually. Milestone data uploaded from Excel to finance. No system-enforced SOW-to-milestone linkage.</t>
  </si>
  <si>
    <t>Milestone amounts in Certinia validated against SOW billing schedule (Golden Rules Checklist). Four delivery types: delivery-based, timing-based, project-start, project-completion.</t>
  </si>
  <si>
    <t>SOW billing schedule maintained in Excel. Validated manually against Oracle Fusion billing data.</t>
  </si>
  <si>
    <t>POC files maintain milestone schedule. Manual validation against SOW. Excel trackers used to monitor milestone consumption.</t>
  </si>
  <si>
    <t>Expenses in Concur. Approval status checked manually. Not always integrated into billing timeline.</t>
  </si>
  <si>
    <t>Expense approval verified on Finance tab in Certinia. Expenses handled as separate billing events from professional fees.</t>
  </si>
  <si>
    <t>Expenses approved via Oracle. Passthrough costs require manual confirmation before billing.</t>
  </si>
  <si>
    <t>Expenses approved via Oracle. Passthrough treatment varies by project. Manual confirmation required.</t>
  </si>
  <si>
    <t>Billing Exception Investigation</t>
  </si>
  <si>
    <t>Billing Data Correction</t>
  </si>
  <si>
    <t>Billing Validation Recheck</t>
  </si>
  <si>
    <t>Billing Agent / ERP / PSA</t>
  </si>
  <si>
    <t>Investigation done manually across Maconomy and Excel. No structured discrepancy log.</t>
  </si>
  <si>
    <t>Discrepancies investigated in Certinia. Common issues: rate mismatches, unapproved expenses, milestone amount changes. Admin Edit used to correct timecards.</t>
  </si>
  <si>
    <t>Investigation across Fusion and Excel. Client-specific requirements often cause mismatches.</t>
  </si>
  <si>
    <t>Investigation using POC files and Excel trackers. Contract module limitations in Oracle PPM cause frequent mismatches.</t>
  </si>
  <si>
    <t>GFS / Client Services</t>
  </si>
  <si>
    <t>5.1.5.1</t>
  </si>
  <si>
    <t>5.1.5.2</t>
  </si>
  <si>
    <t>5.1.5.3</t>
  </si>
  <si>
    <t>T&amp;M Billing Data Compilation</t>
  </si>
  <si>
    <t>Billing Agent</t>
  </si>
  <si>
    <t>Manual compilation from Maconomy. Hours delimited manually. Rate application done outside system.</t>
  </si>
  <si>
    <t>Timecards selected in Certinia for current billing month. Total Billable Amount verified against T&amp;M Overview Excel. Client-specific: AstraZeneca shows team member + days, Pfizer shows hours + rates, Comcast shows aggregated fees, CSL shows individual by project.</t>
  </si>
  <si>
    <t>Compiled from Oracle Fusion with rate card. Manual alignment of pre-bill estimates to actuals.</t>
  </si>
  <si>
    <t>Limited T&amp;M. Where applicable, compiled manually from Oracle PPM timecards.</t>
  </si>
  <si>
    <t>No milestone approval workflow in Maconomy. Milestone billing initiated manually by finance.</t>
  </si>
  <si>
    <t>Setting Actual Date on milestone auto-transitions to Approved in Certinia. Caution: premature Actual Date requires cancelling and cloning milestone. Admin Global Edit used for bulk approval.</t>
  </si>
  <si>
    <t>Milestone approval manual in Oracle Fusion. No automated status transition.</t>
  </si>
  <si>
    <t>POC file review triggers billing event. Milestone approval is a manual finance decision based on project progress.</t>
  </si>
  <si>
    <t>Billing Adjustment &amp; Hold Review</t>
  </si>
  <si>
    <t>5.1.6.1</t>
  </si>
  <si>
    <t>5.1.6.2</t>
  </si>
  <si>
    <t>5.1.6.3</t>
  </si>
  <si>
    <t>Tax Calculation</t>
  </si>
  <si>
    <t>Tax calculated manually or semi-automatically depending on Maconomy configuration.</t>
  </si>
  <si>
    <t>Tax calculated in Certinia billing document. Part of Golden Rules validation (items 12, 15, 17).</t>
  </si>
  <si>
    <t>Tax calculated in Oracle Fusion. EU entities have additional VAT complexity by jurisdiction.</t>
  </si>
  <si>
    <t>Tax calculated in Oracle PPM. International invoicing adds complexity.</t>
  </si>
  <si>
    <t>No standardised template library. Invoice format varies by brand and client.</t>
  </si>
  <si>
    <t>Conga Composer templates in Certinia: BD-S-PF(L0) &amp; EX(L0) default; BDC-S-PF(L2) &amp; EX(L1)-NV for Novartis; BD-S-PF(L3) &amp; EX(L1) for master projects / multiple milestones. Template selection is manual.</t>
  </si>
  <si>
    <t>Templates in Oracle Fusion. Custom formats required for large clients. EU has additional local formatting requirements.</t>
  </si>
  <si>
    <t>Templates in Oracle PPM. Limited standardisation. Client-specific formatting applied manually.</t>
  </si>
  <si>
    <t>All invoices created manually. No system-generated billing documents. High accuracy due to manual effort but very time-consuming. Invoice narrative drafted manually. Client-specific report formats required. Some brands use scheduled billing narratives.</t>
  </si>
  <si>
    <t>Billing document created in Certinia. Must use "Create Billing Document" (NOT "Create Billing Document - Billing Site"). Billing site and service product details populated. Professional Fee Summary drafted in Certinia billing document comments. References previous month invoice or SOW for language. Client-specific formatting: AstraZeneca (team + days), Comcast (project fees), CSL (individual + project), Pfizer (hours + rates).</t>
  </si>
  <si>
    <t>Invoice created manually in Oracle Fusion. No automated document generation.Client-specific reporting formats required. Custom narratives for each client. Takes significant time.</t>
  </si>
  <si>
    <t>Invoice generated in Oracle PPM manually. Client teams provide Excel project trackers as invoicing basis. Invoice narrative based on POC file data. Ops review with clients to determine what goes on invoice.</t>
  </si>
  <si>
    <t>5.1.8.1</t>
  </si>
  <si>
    <t>5.1.8.2</t>
  </si>
  <si>
    <t>Invoice Routing</t>
  </si>
  <si>
    <t>5.1.8.3</t>
  </si>
  <si>
    <t>5.2.1.1</t>
  </si>
  <si>
    <t>5.2.1.2</t>
  </si>
  <si>
    <t>Big client portals (e.g. DecideWare) require large-volume manual data entry. Multiple portal formats.</t>
  </si>
  <si>
    <t>Submission method varies: email or client portal. International invoicing has country-specific requirements outside Certinia. AP contact details checked per Golden Rules item 19.</t>
  </si>
  <si>
    <t>Over 50% of clients require portal uploads. EU: hundreds of client portals. External partners (e.g. Genpact) handle some portal submissions.</t>
  </si>
  <si>
    <t>Manual submission via email or portal. GFS responsible for submission but process is manual.</t>
  </si>
  <si>
    <t>Manual email or portal upload. Supporting docs compiled separately.</t>
  </si>
  <si>
    <t>Manual email or portal submission. Invoice and supporting artifacts attached. Submission date tracked in Asana.</t>
  </si>
  <si>
    <t>Manual portal upload or email. Client reporting packs may be required alongside invoice.</t>
  </si>
  <si>
    <t>Manual submission. Client teams may require project trackers alongside invoice.</t>
  </si>
  <si>
    <t>5.2.3.1</t>
  </si>
  <si>
    <t>Receive &amp; Log Client Query</t>
  </si>
  <si>
    <t>5.2.3.2</t>
  </si>
  <si>
    <t>5.2.3.3</t>
  </si>
  <si>
    <t>5.3.1.1</t>
  </si>
  <si>
    <t>Post Invoice to AR Sub-Ledger</t>
  </si>
  <si>
    <t>5.3.1.2</t>
  </si>
  <si>
    <t>Update Deferred / Unbilled Revenue Balances</t>
  </si>
  <si>
    <t>Raise Intercompany Recharge Request</t>
  </si>
  <si>
    <t>5.3.2.1</t>
  </si>
  <si>
    <t>Submit Final Invoice via Client Channel</t>
  </si>
  <si>
    <t>5.3.2.2</t>
  </si>
  <si>
    <t>Attach Invoice &amp; Confirmation to Project Record</t>
  </si>
  <si>
    <t>Posted in Maconomy. AR aging not always source of truth for collections.</t>
  </si>
  <si>
    <t>Posted in Certinia with feed to Oracle AR. Deferred/unbilled revenue balances updated.</t>
  </si>
  <si>
    <t>Posted in Oracle Fusion. Reconciliation of Fusion AR to project data required.</t>
  </si>
  <si>
    <t>Posted in Oracle. Reconciliation of PPM vs contract module required.</t>
  </si>
  <si>
    <t>Deferred/unbilled tracking maintained separately. Not fully integrated in Maconomy.</t>
  </si>
  <si>
    <t>Deferred/unbilled updated in Certinia. Accrued and deferred tracking linked to milestone and T&amp;M billing.</t>
  </si>
  <si>
    <t>No unbilled revenue tracking in Fusion currently. Manual tracking required.</t>
  </si>
  <si>
    <t>Manual tracking of deferred/unbilled in Excel alongside Oracle.</t>
  </si>
  <si>
    <t>Intercompany invoicing handled manually between entities.</t>
  </si>
  <si>
    <t>Intercompany common across Ignite entities (Vynamic, Putnam, RP). Two IC scenarios: (1) Inizio entity as customer, (2) client billed via different entity.</t>
  </si>
  <si>
    <t>Intercompany invoicing between Engage entities and with other divisions.</t>
  </si>
  <si>
    <t>Intercompany billing between Medical entities. GFS manages with local team support.</t>
  </si>
  <si>
    <t>Manual email or portal submission. Regeneron requires specific email template with invoice #s, GIS date, ServiceNow ticket refs. Compliance invoicing for international handled outside Certinia.</t>
  </si>
  <si>
    <t>EU: hundreds of client portals need manual invoice loading. External partners handle some submissions.</t>
  </si>
  <si>
    <t>Manual submission via email or portal. GFS responsible but process is manual (download PDF, upload to portal).</t>
  </si>
  <si>
    <t>Invoice stored in Maconomy and client file system.</t>
  </si>
  <si>
    <t>Invoice PDF and confirmation attached to FinancialForce, Asana task, and Box. Three separate systems require manual attachment.</t>
  </si>
  <si>
    <t>Invoice stored in Oracle Fusion. Additional copies may be filed on client drives.</t>
  </si>
  <si>
    <t>Invoice stored in Oracle PPM. Additional copies on Teams drives.</t>
  </si>
  <si>
    <t>5.3.3.1</t>
  </si>
  <si>
    <t>Billing-to-Contract Reconciliation</t>
  </si>
  <si>
    <t>Reconciliation process good but manual. Maconomy aging not always source of truth. PO exhaustion tracked in Excel.</t>
  </si>
  <si>
    <t>Reconciliation in Certinia as part of month-end. Budget vs actuals reviewed. Project-by-project analysis for intercompany.</t>
  </si>
  <si>
    <t>Reconciliation exported to Excel from Fusion. No unbilled revenue tracking in Fusion. Manual process.</t>
  </si>
  <si>
    <t>Reconciliation of PPM vs contract module. Oracle can only hold one PO per contract — mismatch when multiple POs exist.</t>
  </si>
  <si>
    <t>5.3.3.2</t>
  </si>
  <si>
    <t>Intercompany Billing Reconciliation</t>
  </si>
  <si>
    <t>IC reconciliation done manually between finance teams.</t>
  </si>
  <si>
    <t>Intercompany requires project-by-project analysis in Certinia. ServiceNow ticket status monitored for settlement. AR adjustment tickets tracked separately.</t>
  </si>
  <si>
    <t>IC reconciliation manual across entities.</t>
  </si>
  <si>
    <t>IC reconciliation managed by GFS with local team support.</t>
  </si>
  <si>
    <t>5.3.3.3</t>
  </si>
  <si>
    <t>Month-End Billing Close</t>
  </si>
  <si>
    <t>Billing Agent / PSA</t>
  </si>
  <si>
    <t>Confirm 20% T&amp;M moving towards Fixed Fee</t>
  </si>
  <si>
    <r>
      <t xml:space="preserve">CH: Need to work on a standarized scope and delivery approach. Deliverables and milestones vary across project types and brands. </t>
    </r>
    <r>
      <rPr>
        <b/>
        <sz val="11"/>
        <color theme="9" tint="-0.249977111117893"/>
        <rFont val="Calibri"/>
        <family val="2"/>
        <scheme val="minor"/>
      </rPr>
      <t>Noted - no update made</t>
    </r>
  </si>
  <si>
    <t>Open Question</t>
  </si>
  <si>
    <r>
      <t xml:space="preserve">KV: Somewhat evenly split between T&amp;M and fixed fee/milestone. Some fixed fee pricing done using standard deliverables rate card. </t>
    </r>
    <r>
      <rPr>
        <b/>
        <sz val="11"/>
        <color theme="9" tint="-0.249977111117893"/>
        <rFont val="Calibri"/>
        <family val="2"/>
      </rPr>
      <t>Noted - no update made</t>
    </r>
  </si>
  <si>
    <r>
      <t xml:space="preserve">CH: Inconsistent approach given the various types of businesses we have brought on. </t>
    </r>
    <r>
      <rPr>
        <b/>
        <sz val="11"/>
        <color theme="9" tint="-0.249977111117893"/>
        <rFont val="Calibri"/>
        <family val="2"/>
        <scheme val="minor"/>
      </rPr>
      <t>Noted - no update made</t>
    </r>
  </si>
  <si>
    <r>
      <t xml:space="preserve">CH: Scope changes are common month to month. </t>
    </r>
    <r>
      <rPr>
        <b/>
        <sz val="11"/>
        <color theme="9" tint="-0.249977111117893"/>
        <rFont val="Calibri"/>
        <family val="2"/>
        <scheme val="minor"/>
      </rPr>
      <t>Noted - no update made</t>
    </r>
    <r>
      <rPr>
        <sz val="11"/>
        <color theme="9" tint="-0.249977111117893"/>
        <rFont val="Calibri"/>
        <family val="2"/>
        <scheme val="minor"/>
      </rPr>
      <t xml:space="preserve"> </t>
    </r>
  </si>
  <si>
    <r>
      <t xml:space="preserve">CH: Current process is done through client calls and recon meetings for scope changes. </t>
    </r>
    <r>
      <rPr>
        <b/>
        <sz val="11"/>
        <color theme="9" tint="-0.249977111117893"/>
        <rFont val="Calibri"/>
        <family val="2"/>
        <scheme val="minor"/>
      </rPr>
      <t>Noted - no update made</t>
    </r>
  </si>
  <si>
    <r>
      <t>MM: All SOW's, Change Orders and PO's are stored in Maconomy.  If something is stored in a local folder, it would only be a copy.  We will not recognize revenue against a project without a contract tying to the contract total, attached in Maconomy. [</t>
    </r>
    <r>
      <rPr>
        <b/>
        <sz val="11"/>
        <color rgb="FFFF0000"/>
        <rFont val="Calibri"/>
        <family val="2"/>
        <scheme val="minor"/>
      </rPr>
      <t>refer to 1.2.4.12</t>
    </r>
    <r>
      <rPr>
        <sz val="11"/>
        <color rgb="FF00B050"/>
        <rFont val="Calibri"/>
        <family val="2"/>
        <scheme val="minor"/>
      </rPr>
      <t>]</t>
    </r>
  </si>
  <si>
    <t>Notification to GFS</t>
  </si>
  <si>
    <r>
      <rPr>
        <b/>
        <sz val="11"/>
        <color rgb="FF00B050"/>
        <rFont val="Calibri"/>
        <family val="2"/>
        <scheme val="minor"/>
      </rPr>
      <t>ADD</t>
    </r>
    <r>
      <rPr>
        <sz val="11"/>
        <color rgb="FF00B050"/>
        <rFont val="Calibri"/>
        <family val="2"/>
        <scheme val="minor"/>
      </rPr>
      <t>: Notification to GFS at Contracting stage [1.1.4.10]</t>
    </r>
  </si>
  <si>
    <t>Deliverables and milestones vary across project types and brands
CH: Need to work on a standarized scope and delivery approach. Deliverables and milestones vary across project types and brands.</t>
  </si>
  <si>
    <t>No standard rate card repository. Pricing defined manually per engagement although some fixed fee pricing done using standard deliverables rate card.
KV: Somewhat evenly split between T&amp;M and fixed fee/milestone</t>
  </si>
  <si>
    <t>CH: Inconsistent approach given the various types of businesses brought on</t>
  </si>
  <si>
    <t>CH: Current process is done through client calls and reconciliation meetings for scope changes</t>
  </si>
  <si>
    <t>AS: Accrued/Deferred w/ income offset ran in PSA</t>
  </si>
  <si>
    <r>
      <t xml:space="preserve">AS: Recogintion type captured on project at creation, and rarely changes to anything. 
</t>
    </r>
    <r>
      <rPr>
        <b/>
        <sz val="11"/>
        <color rgb="FF000000"/>
        <rFont val="Calibri"/>
        <scheme val="minor"/>
      </rPr>
      <t>Putnam</t>
    </r>
    <r>
      <rPr>
        <sz val="11"/>
        <color rgb="FF000000"/>
        <rFont val="Calibri"/>
        <scheme val="minor"/>
      </rPr>
      <t xml:space="preserve"> - Fixed Fee + % complete, phasing out incorrectly created time &amp; matertials
</t>
    </r>
    <r>
      <rPr>
        <b/>
        <sz val="11"/>
        <color rgb="FF000000"/>
        <rFont val="Calibri"/>
        <scheme val="minor"/>
      </rPr>
      <t>RP</t>
    </r>
    <r>
      <rPr>
        <sz val="11"/>
        <color rgb="FF000000"/>
        <rFont val="Calibri"/>
        <scheme val="minor"/>
      </rPr>
      <t xml:space="preserve"> - Fixed fee + % milestone, Milestone % locked based on revenue structure, dates to be confirm by PMs prior to recognition, no T&amp;M
</t>
    </r>
    <r>
      <rPr>
        <b/>
        <sz val="11"/>
        <color rgb="FF000000"/>
        <rFont val="Calibri"/>
        <scheme val="minor"/>
      </rPr>
      <t>Vynamic</t>
    </r>
    <r>
      <rPr>
        <sz val="11"/>
        <color rgb="FF000000"/>
        <rFont val="Calibri"/>
        <scheme val="minor"/>
      </rPr>
      <t xml:space="preserve"> - Fixed Fee + % complete, some true T&amp;M
</t>
    </r>
    <r>
      <rPr>
        <b/>
        <sz val="11"/>
        <color rgb="FF000000"/>
        <rFont val="Calibri"/>
        <scheme val="minor"/>
      </rPr>
      <t>STEM</t>
    </r>
    <r>
      <rPr>
        <sz val="11"/>
        <color rgb="FF000000"/>
        <rFont val="Calibri"/>
        <scheme val="minor"/>
      </rPr>
      <t xml:space="preserve"> - same as RP</t>
    </r>
  </si>
  <si>
    <t xml:space="preserve">AS: Done by system based on recognition type selected on the project </t>
  </si>
  <si>
    <r>
      <t>AS: Putnam</t>
    </r>
    <r>
      <rPr>
        <sz val="11"/>
        <color rgb="FF000000"/>
        <rFont val="Calibri"/>
        <scheme val="minor"/>
      </rPr>
      <t xml:space="preserve"> - missing time report, all time required workiday day -2, follow ups sent to users missing time to complete. All timecards submited, run % complete calculation in PSA that will total value time submitted in the month vs remaining work compare to project budget, preliminary revenue report complete for fianance a[pproval/comparision to forecast/locate errors on projects. 
</t>
    </r>
    <r>
      <rPr>
        <b/>
        <sz val="11"/>
        <color rgb="FF000000"/>
        <rFont val="Calibri"/>
        <scheme val="minor"/>
      </rPr>
      <t>RP</t>
    </r>
    <r>
      <rPr>
        <sz val="11"/>
        <color rgb="FF000000"/>
        <rFont val="Calibri"/>
        <scheme val="minor"/>
      </rPr>
      <t xml:space="preserve"> - missing time report, all time required workiday day -2, follow ups sent to users missing time to complete. All timecards submited. Prelim report based on Milestones rather than % complete </t>
    </r>
  </si>
  <si>
    <t xml:space="preserve">AS: Timecards are auto approve for all Ignite, no true T&amp;M projects </t>
  </si>
  <si>
    <t xml:space="preserve">AS: Located in Prelim report </t>
  </si>
  <si>
    <t>AS: no manual override, rerun % complete + report</t>
  </si>
  <si>
    <t xml:space="preserve">AS: Income offset </t>
  </si>
  <si>
    <t>Noted - no change made at this time</t>
  </si>
  <si>
    <t>Markup agreed in SOW (some by line item; others by flat percentage). Pass through is direct billed as incurred, but mark-up is calculated and invoiced at project closure reconciliation period</t>
  </si>
  <si>
    <t>4.1.5.6</t>
  </si>
  <si>
    <t>Supplemental attachments are not boiler-plate, and often times are provided by the client already prepared to include with the invoice</t>
  </si>
  <si>
    <t>1.2.2.8</t>
  </si>
  <si>
    <t>1.2.2.9</t>
  </si>
  <si>
    <t>1.2.2.10</t>
  </si>
  <si>
    <t>Draft SOW Upload to Agent</t>
  </si>
  <si>
    <t>Draft SOW Alignment to MSA?</t>
  </si>
  <si>
    <t>SOX / Audit Hotspots for Consideration</t>
  </si>
  <si>
    <t>Dawn / Don</t>
  </si>
  <si>
    <t>At-Risk Project Activation on Draft SOW</t>
  </si>
  <si>
    <t>1.2.3.1</t>
  </si>
  <si>
    <t>At-Risk Start Needed?</t>
  </si>
  <si>
    <t>1.2.3.2</t>
  </si>
  <si>
    <t>1.2.3.3</t>
  </si>
  <si>
    <t>At-Risk Approval &amp; Risk Acceptance</t>
  </si>
  <si>
    <t>1.2.3.4</t>
  </si>
  <si>
    <t>Proceed to Project Setup</t>
  </si>
  <si>
    <t>Client Services / Account Managers</t>
  </si>
  <si>
    <t>AI Agent - Contract Capture (or Client Services/Acct Mgrs in absence of Agent)</t>
  </si>
  <si>
    <t>Commercial Affairs</t>
  </si>
  <si>
    <t>Portfolio Leaders (MD)</t>
  </si>
  <si>
    <t>AI Agent - Billing (or GFS in absence of Agent)</t>
  </si>
  <si>
    <t>KV: For to-be RACI, I believe this Step 1.3 should be Operations or GFS rather than Client Services. It is currently Operations.</t>
  </si>
  <si>
    <r>
      <t>MM: This step should be done before an SOW is sent to a cleint. [</t>
    </r>
    <r>
      <rPr>
        <b/>
        <sz val="11"/>
        <color rgb="FF00B050"/>
        <rFont val="Calibri"/>
        <family val="2"/>
        <scheme val="minor"/>
      </rPr>
      <t>Updated - this is now secondary matching. See 1.2.2.10</t>
    </r>
    <r>
      <rPr>
        <sz val="11"/>
        <color rgb="FF00B050"/>
        <rFont val="Calibri"/>
        <family val="2"/>
        <scheme val="minor"/>
      </rPr>
      <t>]</t>
    </r>
  </si>
  <si>
    <r>
      <t xml:space="preserve">KV: I believe from a SOX compliance standpoint, Div. Finance will still need to be responsible for tying out budgets and turning projects live in Maconomy. </t>
    </r>
    <r>
      <rPr>
        <b/>
        <sz val="11"/>
        <color rgb="FF00B050"/>
        <rFont val="Calibri"/>
        <family val="2"/>
      </rPr>
      <t>[See updates - threshold-driven]</t>
    </r>
  </si>
  <si>
    <r>
      <rPr>
        <sz val="11"/>
        <color rgb="FF00B050"/>
        <rFont val="Calibri"/>
        <family val="2"/>
      </rPr>
      <t>KM: Column I: This is Div Finance for COMMS.</t>
    </r>
    <r>
      <rPr>
        <sz val="11"/>
        <color rgb="FF000000"/>
        <rFont val="Calibri"/>
        <family val="2"/>
      </rPr>
      <t xml:space="preserve"> 
</t>
    </r>
    <r>
      <rPr>
        <sz val="11"/>
        <color rgb="FF00B050"/>
        <rFont val="Calibri"/>
        <family val="2"/>
      </rPr>
      <t>CH: Formal SOWs are not resubmitted for budget changes as is. This can be done through a recon meeting and email from the client for zero reallocation budget changes</t>
    </r>
    <r>
      <rPr>
        <b/>
        <sz val="11"/>
        <color rgb="FF00B050"/>
        <rFont val="Calibri"/>
        <family val="2"/>
      </rPr>
      <t xml:space="preserve"> [See updates to 1.2.2.7-1.2.2.8]</t>
    </r>
  </si>
  <si>
    <r>
      <rPr>
        <b/>
        <sz val="11"/>
        <color theme="5"/>
        <rFont val="Calibri"/>
        <family val="2"/>
        <scheme val="minor"/>
      </rPr>
      <t>ADD</t>
    </r>
    <r>
      <rPr>
        <sz val="11"/>
        <color theme="5"/>
        <rFont val="Calibri"/>
        <family val="2"/>
        <scheme val="minor"/>
      </rPr>
      <t>: Draft vs. Final invoice for client review/approval</t>
    </r>
  </si>
  <si>
    <t>Nice to have (20, not 80). DJ Note: Could be part of the Sidetrade offering but again not an urgent Inizio need</t>
  </si>
  <si>
    <t>DJ: Demand forecasting should not be transitioned to GFS.</t>
  </si>
  <si>
    <t>DJ: Will timecards have an approval process prior to billing/rev rec? Adjustments to timecards will need a process to re-approved post adjustment.</t>
  </si>
  <si>
    <t>DJ: Ignite confirmed the use the standard templates from Certinia. I will check with the GFS billing team for AMC US/UK for any deviations from standard</t>
  </si>
  <si>
    <t>DJ: If T&amp;M billing is from approved timecards, where can we put an upstream review or will it need to route for approval in the system. FF/Milestone billing will not have an invoice approval routing back to client services</t>
  </si>
  <si>
    <t>DJ: Is it possible to eliminate Client Services submitting to the client. We are working to automate the emailing of invoices and portal submission so this would be an exception to global design.</t>
  </si>
  <si>
    <t>DJ: looking at Sidetrade as an automation solution to many of the collections steps</t>
  </si>
  <si>
    <t>Changes from today</t>
  </si>
  <si>
    <t>Disparat master data</t>
  </si>
  <si>
    <t>Not performed today - no threshold (to be determined by the business)</t>
  </si>
  <si>
    <t>Sales / Division Finance</t>
  </si>
  <si>
    <t>Starting principle is that Inizio (CA team) signs first - to inform technology, who's across it in CC for routing and version control (with right payment terms)</t>
  </si>
  <si>
    <t>E-invoicing (+ generating invoice out of ERP)</t>
  </si>
  <si>
    <t>Upstream notification to GFS</t>
  </si>
  <si>
    <t>Redraft SOW Document or Document Changes via Structured Letter</t>
  </si>
  <si>
    <t>MSA number; SOW reference number; scope changes captured via structured template (either in amended SOW or letter format)</t>
  </si>
  <si>
    <t>MSA reference ID</t>
  </si>
  <si>
    <t>Agent automatic check against MSA. Link all documents with Project Number and SOW/MSA reference</t>
  </si>
  <si>
    <t>To the extent possible, utilize SOW structure templates (e.g., structured inputs). De minimus sections w/in SOW (project master data; billing data; e-invoicing reqs; commercial model; delivery milestones; etc.) Include MSA reference and SOW reference/Project Number</t>
  </si>
  <si>
    <t>AI Agent - Contract Capture (or GFS in absence of Agent)</t>
  </si>
  <si>
    <t>Project Activation moved from Division Finance to Ops</t>
  </si>
  <si>
    <t>Artefacts</t>
  </si>
  <si>
    <t>Existing Work - Forecast</t>
  </si>
  <si>
    <t>Evoke - use forecasting module
Open question for Ignite -do they have something similar?</t>
  </si>
  <si>
    <t>Commitment Call</t>
  </si>
  <si>
    <t>More formalized commitment call for Evoke</t>
  </si>
  <si>
    <t>Hiring &amp; Subcontractor Planning (Buy/Borrow/Build)</t>
  </si>
  <si>
    <t>Resource planning to move away from Excel and into PSA/AI Talent Marketplace</t>
  </si>
  <si>
    <t>Trigger month-end revenue recognition process based on financial close calendar and projects moving to 'Active' status. Confirm cut-off dates and deadlines</t>
  </si>
  <si>
    <t>Ignite - do projects need to be in active status?</t>
  </si>
  <si>
    <t>Fixed Fee / Milestone: PoC Review</t>
  </si>
  <si>
    <t>4.1.2.4</t>
  </si>
  <si>
    <t>1.1.1.6</t>
  </si>
  <si>
    <t>Country-Specific e-Invoicing Rule Validation</t>
  </si>
  <si>
    <t>Legal Review</t>
  </si>
  <si>
    <t>Legal Approval?</t>
  </si>
  <si>
    <t>Set Up Client Portal &amp; E-Invoicing Billing Configuration</t>
  </si>
  <si>
    <t>1.2.2.11</t>
  </si>
  <si>
    <t xml:space="preserve">Currently a manual step performed by Division Finance </t>
  </si>
  <si>
    <t>Move from Div Finance manual upload to automatic push to HighQ (or Commercial Affairs in absence of Agent)</t>
  </si>
  <si>
    <t>Some areas (e.g., Creative) don't have a defined process for getting approval to work at-risk while SOW is being completed. Added TIME BOUNDS for working at-risk</t>
  </si>
  <si>
    <t>At-Risk Monitoring</t>
  </si>
  <si>
    <t>Define Pass-Through Treatment</t>
  </si>
  <si>
    <t>1.2.2.12</t>
  </si>
  <si>
    <t>Milestone &amp; Billing Trigger Setup</t>
  </si>
  <si>
    <t>Billing &amp; Revenue Enablement</t>
  </si>
  <si>
    <t>1.3.9</t>
  </si>
  <si>
    <t>Establishing defined timebounds for review and escalation of at-risk work</t>
  </si>
  <si>
    <t>PowerBI Dashboard</t>
  </si>
  <si>
    <t>N/A</t>
  </si>
  <si>
    <t>Parent Division Assignment</t>
  </si>
  <si>
    <t>Multi-Division Engagement Setup</t>
  </si>
  <si>
    <t>1.1.5</t>
  </si>
  <si>
    <t>1.1.5.1</t>
  </si>
  <si>
    <t>1.1.5.2</t>
  </si>
  <si>
    <t>1.1.5.3</t>
  </si>
  <si>
    <t>1.1.5.4</t>
  </si>
  <si>
    <t>1.1.5.5</t>
  </si>
  <si>
    <t>1.1.5.6</t>
  </si>
  <si>
    <t>1.1.5.7</t>
  </si>
  <si>
    <t>1.1.5.8</t>
  </si>
  <si>
    <t>1.1.5.9</t>
  </si>
  <si>
    <t>1.1.5.10</t>
  </si>
  <si>
    <t>1.1.5.11</t>
  </si>
  <si>
    <t>1.1.5.12</t>
  </si>
  <si>
    <t>1.1.5.13</t>
  </si>
  <si>
    <t>1.1.5.14</t>
  </si>
  <si>
    <t>1.1.5.15</t>
  </si>
  <si>
    <t>Common Pricing &amp; Commercial Structure Alignment</t>
  </si>
  <si>
    <t>Define common pricing structures, rate cards and shared commercial terms across participating divisions. Where agreement cannot be reached, parent division retains final commercial decision authority</t>
  </si>
  <si>
    <t>Participating Division Identification</t>
  </si>
  <si>
    <t>Division Scope &amp; Billing Allocation</t>
  </si>
  <si>
    <t>Parent Division Change Control</t>
  </si>
  <si>
    <t>As required, manage controlled reassignment of parent division ownership based on material changes in revenue share, delivery footprint or strategic account ownership</t>
  </si>
  <si>
    <t>Identify division(s) participating in delivery and billing for the proposed scope of work aligned to the previously agreed parent-child structure, if applicable</t>
  </si>
  <si>
    <t>Forecast Calendar &amp; Cut-Off Definition</t>
  </si>
  <si>
    <t>Forecast Submission Calendar</t>
  </si>
  <si>
    <t>Forecast Timeline Communication</t>
  </si>
  <si>
    <t>EPM / Email</t>
  </si>
  <si>
    <t>Work-at-Risk Forecast Alignment</t>
  </si>
  <si>
    <t>Forecast Workflow Submission</t>
  </si>
  <si>
    <t>2.1.3.2</t>
  </si>
  <si>
    <t>2.1.3.3</t>
  </si>
  <si>
    <t>2.1.3.4</t>
  </si>
  <si>
    <t>Active Projects Review &amp; Update</t>
  </si>
  <si>
    <t>PSA (Forecasting Module)</t>
  </si>
  <si>
    <t>Pass-Through Forecast Update</t>
  </si>
  <si>
    <t>2.1.4.1</t>
  </si>
  <si>
    <t>2.1.4.3</t>
  </si>
  <si>
    <t>Divisional Revenue Forecasting</t>
  </si>
  <si>
    <t>Divisional Forecast Generation</t>
  </si>
  <si>
    <t>Account Discount &amp; Rebate Forecast Assessment</t>
  </si>
  <si>
    <t>Bottom-Up Forecast Review &amp; Update</t>
  </si>
  <si>
    <t>2.1.5.1</t>
  </si>
  <si>
    <t>2.1.5.2</t>
  </si>
  <si>
    <t>2.1.5.3</t>
  </si>
  <si>
    <t>Finance Forecast Review &amp; Top-Down Adjustments</t>
  </si>
  <si>
    <t>2.1.6</t>
  </si>
  <si>
    <t>2.1.6.1</t>
  </si>
  <si>
    <t>2.1.6.2</t>
  </si>
  <si>
    <t>Forecast Commitment &amp; Finalisation</t>
  </si>
  <si>
    <t>MD Forecast Commitment Received?</t>
  </si>
  <si>
    <t>2.1.6.3</t>
  </si>
  <si>
    <t>SOW, Order Entry &amp; Validation (incl. POs)</t>
  </si>
  <si>
    <t>Establish deliverables, timeline, milestones, dependencies, etc. Distinguish between agreed vs. optional scope</t>
  </si>
  <si>
    <t>For T&amp;M projects, confirm all timecards for the period are submitted. Reconcile billable hours.</t>
  </si>
  <si>
    <t>4.1.2.5</t>
  </si>
  <si>
    <t>SaaS: Active Subscription Review</t>
  </si>
  <si>
    <t>4.1.2.6</t>
  </si>
  <si>
    <t>Identify root cause of exception (e.g., missing timecard, unapproved or unsubmitted expense, inaccurate PoC calculation, etc.</t>
  </si>
  <si>
    <t>Obtain missing data or correct erroneous inputs (e.g., submit late timecards, approve expense reports, correct PoC calculation)</t>
  </si>
  <si>
    <r>
      <t xml:space="preserve">Validated through month-end analysis in Certinia. Not all entities support milestone-based rev rec in the system.
Putnam/Vynamic: Generally in-line with proposed to-be design already
RP Ad-hoc - largely in-line with proposed to-be design
</t>
    </r>
    <r>
      <rPr>
        <sz val="9"/>
        <color rgb="FFFF0000"/>
        <rFont val="Arial"/>
        <family val="2"/>
      </rPr>
      <t xml:space="preserve">RP Syndicated - STILL OPEN. TO BE DETERMINED APPROPRIATE REVENUE BUCKET FOR TO-BE MAPPING
</t>
    </r>
    <r>
      <rPr>
        <sz val="9"/>
        <color rgb="FF000000"/>
        <rFont val="Arial"/>
        <family val="2"/>
      </rPr>
      <t xml:space="preserve">STEM - Ad-hoc - Fixed Fee
</t>
    </r>
    <r>
      <rPr>
        <sz val="9"/>
        <color rgb="FFFF0000"/>
        <rFont val="Arial"/>
        <family val="2"/>
      </rPr>
      <t>STEM - TBC (potentially SaaS equivalent)</t>
    </r>
  </si>
  <si>
    <t>Putname has mgmt. fee revenue in as-is state</t>
  </si>
  <si>
    <t>Revenue is calculated according to revenue recognition rules aligned to contract terms. Recognise accrued revenue for earned but unbilled amounts and deferred revenue for billed but unearned amounts.</t>
  </si>
  <si>
    <t>T&amp;M: Calculate Revenue from Submitted Time</t>
  </si>
  <si>
    <t>SaaS / Recurring: Calculate Recurring Revenue</t>
  </si>
  <si>
    <t>Route transactions to appropriate revenue validation logic based on method</t>
  </si>
  <si>
    <t>Route transactions to appropriate revenue recognition calculation logic based on method</t>
  </si>
  <si>
    <t>For T&amp;M projects, calculate revenue as submitted hours × contracted rates</t>
  </si>
  <si>
    <t>Prepare revenue journal entries based on calculated revenue outputs and route for approval in line with financial controls</t>
  </si>
  <si>
    <t>Prepare revenue journal entries for recognised revenue, accruals, deferrals and unbilled AR movements based on revenue calculation outputs</t>
  </si>
  <si>
    <t>Route revenue journal entries for review and approval in line with financial controls and delegation of authority</t>
  </si>
  <si>
    <t>Review and approve revenue journal entries for accuracy, completeness and compliance with revenue recognition policy</t>
  </si>
  <si>
    <t>Review revenue journal entries for accuracy, completeness and compliance with revenue recognition policy</t>
  </si>
  <si>
    <t>Revenue Posting &amp; Reconciliation</t>
  </si>
  <si>
    <t>Post approved revenue journal entries to the general ledger. System updates revenue accounts automatically</t>
  </si>
  <si>
    <t>Deferred / Accrued Balance Reconciliation</t>
  </si>
  <si>
    <t>Process post-recognition revenue adjustments and accounting true-ups resulting from updated commercial, contractual or accounting information (e.g., rebates, contract modifications, scope changes, etc.)</t>
  </si>
  <si>
    <t>Adjustment Identification &amp; Validation</t>
  </si>
  <si>
    <t>Identify revenue adjustment events, validate supporting documentation and determine required accounting treatment</t>
  </si>
  <si>
    <t>Identify &amp; Validate Adjustment</t>
  </si>
  <si>
    <t>Identify events requiring revenue adjustment or accounting true-up (e.g., rebate accruals, contract modifications, revenue reversals or accrual/deferral adjustments). Validate supporting documentation, approvals and required accounting treatment</t>
  </si>
  <si>
    <t>Adjustment Calculation &amp; Journal Preparation</t>
  </si>
  <si>
    <t>Calculate financial impact of adjustment and prepare associated journal entries</t>
  </si>
  <si>
    <t>Calculate Adjustment &amp; Prepare Journals</t>
  </si>
  <si>
    <t>Calculate financial impact of adjustment or true-up, determine accounting treatment and prepare associated journal entries</t>
  </si>
  <si>
    <t>Route adjustment journal entries for approval in line with financial controls and delegation of authority</t>
  </si>
  <si>
    <t>Journal Review &amp; Approval</t>
  </si>
  <si>
    <t>Review adjustment journal entries for accuracy, completeness and compliance with revenue recognition policy</t>
  </si>
  <si>
    <t>Determine whether adjustment journal entry is approved for posting. If journal is rejected, return to preparer with rejection reason</t>
  </si>
  <si>
    <t>Post approved revenue journal entries to the general ledger. System updates revenue and balance sheet accounts automatically</t>
  </si>
  <si>
    <t>System automatically updates deferred revenue, accrued revenue and unbilled AR balances based on posted adjustment activity</t>
  </si>
  <si>
    <t>System automatically updates deferred revenue, accrued revenue and unbilled AR balances based on posted revenue activity</t>
  </si>
  <si>
    <t>Trigger invoice cycle based on agreed billing events and invoicing arrangements (e.g., scheduled billing date, milestone completion, pre-billing, etc.)</t>
  </si>
  <si>
    <t>Invoice Submission Calendar</t>
  </si>
  <si>
    <t>Invoice Calendar &amp; Cut-Off Definition</t>
  </si>
  <si>
    <t>Communicate invoice timetable, submission deadlines and cut-off dates to stakeholders ahead of each financial period. Send automated reminders in advance of key billing deadlines</t>
  </si>
  <si>
    <t>Invoice Timeline Communication</t>
  </si>
  <si>
    <t>5.1.3.1</t>
  </si>
  <si>
    <t>5.1.3.2</t>
  </si>
  <si>
    <t>5.1.3.3</t>
  </si>
  <si>
    <t>5.1.3.4</t>
  </si>
  <si>
    <t>5.1.3.5</t>
  </si>
  <si>
    <t>5.1.6.4</t>
  </si>
  <si>
    <t>5.1.6.5</t>
  </si>
  <si>
    <t>5.1.6.6</t>
  </si>
  <si>
    <t>5.1.6.7</t>
  </si>
  <si>
    <t>5.1.6.8</t>
  </si>
  <si>
    <t>5.1.6.9</t>
  </si>
  <si>
    <t>5.1.6.10</t>
  </si>
  <si>
    <t>Define and communicate invoice timetable and cut-off dates for each financial period</t>
  </si>
  <si>
    <t>Milestone Trigger: Billing Milestone Achieved</t>
  </si>
  <si>
    <t>Fixed Fee / Scheduled Billing Trigger: Billing Date Achieved</t>
  </si>
  <si>
    <t>SaaS / Recurring Trigger: Billing Cycle Active</t>
  </si>
  <si>
    <t>Upfront Billing Trigger: Signed SOW Achieved</t>
  </si>
  <si>
    <t>Upfront Billing Required?</t>
  </si>
  <si>
    <t>5.1.2.6</t>
  </si>
  <si>
    <t>5.1.2.7</t>
  </si>
  <si>
    <t>5.1.2.8</t>
  </si>
  <si>
    <t>5.1.2.9</t>
  </si>
  <si>
    <t>Billing Validation &amp; Exception Handling</t>
  </si>
  <si>
    <t>Validate billing inputs, contract alignment and billing trigger conditions. Identify and resolve billing exceptions prior to invoice generation</t>
  </si>
  <si>
    <t>Contract, PO &amp; Billing Validation</t>
  </si>
  <si>
    <t>Milestone: Billing Input Validation</t>
  </si>
  <si>
    <t>Validate milestone completion, client acceptance and agreed billing amounts in line with contracted milestone billing terms</t>
  </si>
  <si>
    <t>Validate agreed billing dates and scheduled invoice amounts in line with contracted billing schedule</t>
  </si>
  <si>
    <t>Validate executed SOW, agreed upfront billing amount and associated billing trigger prior to invoice generation</t>
  </si>
  <si>
    <t>5.1.3.6</t>
  </si>
  <si>
    <t>For SaaS / recurring revenue billing arrangements, recurring billing cycle reaches scheduled invoicing period</t>
  </si>
  <si>
    <t>For milestone-based billing arrangements, billing milestone achieved and invoicing event triggered</t>
  </si>
  <si>
    <t>For upfront or pre-billing arrangements, SOW with upfront billing requirements is executed, and milestone is created and marked as complete to trigger invoice cycle initiation</t>
  </si>
  <si>
    <t>Fixed Fee / Scheduled: Billing Validation</t>
  </si>
  <si>
    <t>SaaS / Recurring: Billing Validation</t>
  </si>
  <si>
    <t>Upfront / Pre-billing: Billing Validation</t>
  </si>
  <si>
    <t>5.1.3.7</t>
  </si>
  <si>
    <t>5.1.3.8</t>
  </si>
  <si>
    <t>5.1.3.9</t>
  </si>
  <si>
    <t>Expense Trigger: Approved Expense Submitted</t>
  </si>
  <si>
    <t>Approved reimbursable expenses submitted and available for invoicing for the billing period</t>
  </si>
  <si>
    <t>Expense &amp; Approved Costs: Billing Validation</t>
  </si>
  <si>
    <t>Billing Validation Passed?</t>
  </si>
  <si>
    <t>Determine whether discrepancies exist between billing inputs, contract terms and invoicing requirements (e.g., rates, milestones, PO values or billing entities)</t>
  </si>
  <si>
    <t>Investigate and resolve billing discrepancies and apply required corrections prior to invoice generation</t>
  </si>
  <si>
    <t>Investigate root cause of billing discrepancy (e.g., rate card error, unapproved time, milestone variance, PO shortfall or incorrect legal entity) with Client Services or Project Manager. Determine corrective action and client communication requirements</t>
  </si>
  <si>
    <t>Apply corrections to billing inputs, timecards, expenses, milestones or contract data where required. Obtain re-approval where necessary</t>
  </si>
  <si>
    <t>Re-run billing validation checks after corrections are applied and confirm discrepancy has been resolved prior to invoice generation</t>
  </si>
  <si>
    <t>Billing Data Preparation, Consolidation &amp; Formatting</t>
  </si>
  <si>
    <t>Milestone Billing Compilation</t>
  </si>
  <si>
    <t>For Milestone billing, automatically compile milestone billing amounts based on achieved billing milestones and client acceptance status</t>
  </si>
  <si>
    <t>Fixed Fee / Scheduled Billing Compilation</t>
  </si>
  <si>
    <t>For SaaS / Recurring billing, automatically compile recurring subscription billing amounts for the invoicing period</t>
  </si>
  <si>
    <t>SaaS / Recurring Billing Compilation</t>
  </si>
  <si>
    <t>Upfront Billing Compilation</t>
  </si>
  <si>
    <t>Passthrough Billing Compilation</t>
  </si>
  <si>
    <t>Invoice Formatting &amp; Delivery Method Determination</t>
  </si>
  <si>
    <t>Invoice Narration &amp; Supporting Documentation</t>
  </si>
  <si>
    <t>Billing on Behalf Consolidation</t>
  </si>
  <si>
    <t>T&amp;M only: Client Services / Operations Review</t>
  </si>
  <si>
    <t>PM Review</t>
  </si>
  <si>
    <t xml:space="preserve">For SaaS and recurring revenue projects, validate active subscription term, contracted recurring revenue, billing schedule and revenue recognition period </t>
  </si>
  <si>
    <t>For SaaS and recurring revenue projects, recognise recurring revenue ratably over the active subscription period through periodic deferred revenue release based on contracted subscription terms and billing schedule. Exclude one-time fees and non-recurring charges from recurring revenue treatment</t>
  </si>
  <si>
    <r>
      <t xml:space="preserve">Validate passthrough revenue treatment is aligned to agreed SOW terms (e.g., markup, management/service fee or without markup arrangements) and supported by underlying service delivery for </t>
    </r>
    <r>
      <rPr>
        <b/>
        <sz val="9"/>
        <rFont val="Arial"/>
        <family val="2"/>
      </rPr>
      <t>gross</t>
    </r>
    <r>
      <rPr>
        <sz val="9"/>
        <rFont val="Arial"/>
        <family val="2"/>
      </rPr>
      <t xml:space="preserve"> revenue recognition processing</t>
    </r>
  </si>
  <si>
    <t>Validate Passthrough Revenue Treatment (Markup, No Markup, Mgmt. / Service Fee)</t>
  </si>
  <si>
    <t>Passthrough Revenue Recognition</t>
  </si>
  <si>
    <t>Recognise gross passthrough revenue, including associated markup or management / service fee, upon delivery of the underlying service</t>
  </si>
  <si>
    <t>Fixed Fee / Milestone: Validate Approved Timecards &amp; Rates; Reconcile Against PoC (or Validate Milestone Completion)</t>
  </si>
  <si>
    <t>Fixed Fee/Milestone-based: Calculate Revenue from PoC (or by Milestone Completion)</t>
  </si>
  <si>
    <t>Determine applicable billing pathway and route to appropriate invoicing process. Where agreed under SOW / MSA terms, scheduled billing should be used for T&amp;M and Fixed Fee engagements to support downstream billing automation</t>
  </si>
  <si>
    <t>T&amp;M Trigger: Billing Event Achieved</t>
  </si>
  <si>
    <t>For T&amp;M projects, trigger invoice cycle based on agreed billing structure (e.g., scheduled billing date reached or submitted billable hours for the current billing period under non-scheduled billing arrangements)</t>
  </si>
  <si>
    <t>For fixed fee using scheduled billing arrangements, scheduled billing date reached for invoicing cycle initiation</t>
  </si>
  <si>
    <t>Ad-Hoc Billing Trigger Initiated</t>
  </si>
  <si>
    <t>Trigger off-cycle or discretionary invoice generation based on approved client request or commercial agreement outside standard billing schedule</t>
  </si>
  <si>
    <t>Passthrough Billing Trigger: Cost Incurred (Markup, No Markup, Mgmt. / Service Fee)</t>
  </si>
  <si>
    <t>Ad-Hoc Billing Validation</t>
  </si>
  <si>
    <t>Validate recurring billing schedule, subscription terms and contracted recurring invoice amounts for the billing period. Exclude one-time fees and non-recurring charges from recurring billing validation</t>
  </si>
  <si>
    <t>Validate approved ad-hoc billing request, agreed billing amount and required approval prior to invoice generation</t>
  </si>
  <si>
    <t>Passthrough costs incurred and available for invoicing</t>
  </si>
  <si>
    <t>Determine whether billing validation criteria have been met</t>
  </si>
  <si>
    <t>Validate passthrough charges, supporting documentation and agreed SOW billing treatment prior to invoice generation</t>
  </si>
  <si>
    <t>Passthrough (Markup, No Markup, Mgmt. / Service Fee): Billing Validation</t>
  </si>
  <si>
    <t>For Fixed Fee / Scheduled billing, automatically compile scheduled billing amounts and agreed invoice values for the invoicing period in line with contracted billing schedule in executed SOW</t>
  </si>
  <si>
    <t>For upfront billing, automatically compile agreed upfront or pre-billing invoice amounts in line with contracted billing terms and approved billing trigger</t>
  </si>
  <si>
    <t>Ad-Hoc Billing Compilation</t>
  </si>
  <si>
    <t>Compile approved ad-hoc billing amounts and supporting billing detail for invoice generation in line with approved billing request</t>
  </si>
  <si>
    <t>Expense Compilation</t>
  </si>
  <si>
    <t>Compile passthrough billing amounts, including associated markup or management/service fee amounts, for invoice generation in line with agreed SOW treatment. Prompt billing user to determine whether passthrough costs and associated markup / mgmt. fee should appear as combined or separate invoice line items based on client preference</t>
  </si>
  <si>
    <t>5.1.6.11</t>
  </si>
  <si>
    <t>Use standardised invoice templates where possible to support downstream billing consistency and automation. Prompt user to apply invoice template, billing format, client-specific invoicing requirements and invoice delivery method. Where e-invoicing is required under MSA or billing master data, default invoice generation to structured e-invoicing rather than PDF output</t>
  </si>
  <si>
    <t xml:space="preserve">Where consolidated billing is required, consolidate billing events, invoice amounts and supporting billing data across contributing projects, divisions or entities for centralised invoice generation under lead Parent or IHL billing entity, as per SOW </t>
  </si>
  <si>
    <t>Monitor for client response or billing query within agreed SLA</t>
  </si>
  <si>
    <t>Capture client query details, categorise issue type (amount, scope, format, PO, compliance)</t>
  </si>
  <si>
    <t>Investigate, Resolve &amp; Prepare Response</t>
  </si>
  <si>
    <t>5.3.2.3</t>
  </si>
  <si>
    <t>5.3.2.4</t>
  </si>
  <si>
    <t>AR Posting &amp; Accounting Update</t>
  </si>
  <si>
    <t>Finalise invoice structure, validate final invoice output and prepare invoice for client issuance</t>
  </si>
  <si>
    <t>Submit final invoice to client via agreed submission channel and confirm successful invoice issuance</t>
  </si>
  <si>
    <t>Submission Confirmation &amp; Audit Capture</t>
  </si>
  <si>
    <t>Capture invoice submission confirmation, transmission status and supporting audit records for invoice issuance tracking</t>
  </si>
  <si>
    <t>Attach final invoice output and submission confirmation to ERP project record and associated document repositories where required</t>
  </si>
  <si>
    <t>Invoice Submission Successful?</t>
  </si>
  <si>
    <t>Determine whether invoice or e-invoice submission completed successfully and was accepted by the client submission channel</t>
  </si>
  <si>
    <t>Invoice Submission Rejection Resolution</t>
  </si>
  <si>
    <t>Investigate invoice or e-invoice rejection, correct submission, formatting or compliance issues and regenerate / re-submit invoice where required</t>
  </si>
  <si>
    <t>Automatically update unbilled AR, accrued revenue and deferred revenue balances resulting from issued invoice activity</t>
  </si>
  <si>
    <t>Intercompany Billing Determination</t>
  </si>
  <si>
    <t>Determine whether intercompany recharge treatment is required where work is delivered by one entity and billed through another entity</t>
  </si>
  <si>
    <t>5.3.4</t>
  </si>
  <si>
    <t>5.3.4.1</t>
  </si>
  <si>
    <t>5.3.4.2</t>
  </si>
  <si>
    <t>5.3.4.3</t>
  </si>
  <si>
    <t>Reconcile intercompany recharge balances and confirm associated accounting entries are settled between entities</t>
  </si>
  <si>
    <t>Complete month-end billing reconciliation and confirm all invoices for the billing period have been generated, submitted and posted prior to billing period close</t>
  </si>
  <si>
    <r>
      <t>Where operationally feasible, perform revenue recognition at the primary project level rather than sub-project level to support consolidated revenue treatment and simplify downstream accounting processes.
Determine applicable revenue recognition method per project (or sub-project where required): T&amp;M (time-earned), Fixed Fee (PoC), Milestone (delivery event), SaaS (recurring), Pre-billing (deposit at contract signature), Passthrough (</t>
    </r>
    <r>
      <rPr>
        <sz val="9"/>
        <rFont val="Arial"/>
        <family val="2"/>
      </rPr>
      <t>third party, intercompany</t>
    </r>
    <r>
      <rPr>
        <sz val="9"/>
        <color rgb="FF000000"/>
        <rFont val="Arial"/>
        <family val="2"/>
      </rPr>
      <t>), etc. 
Known exception: Exception: Evoke performing at the sub project level</t>
    </r>
  </si>
  <si>
    <t>Invoicing Process - GFS Steps</t>
  </si>
  <si>
    <t>Issue Invoice</t>
  </si>
  <si>
    <t>P1 Create Invoice</t>
  </si>
  <si>
    <t>P1 Deliver Invoice</t>
  </si>
  <si>
    <t>P2 Manual Integrations</t>
  </si>
  <si>
    <t>Invoice Resolution</t>
  </si>
  <si>
    <t>P2 Project Invoice Status</t>
  </si>
  <si>
    <t>Submit invoice to client</t>
  </si>
  <si>
    <t>Create invoice</t>
  </si>
  <si>
    <t>As-is</t>
  </si>
  <si>
    <t>To-be</t>
  </si>
  <si>
    <t>Invoicing team provides list of transactions that are available for billing to non-Oracle entities (multiple STEM entities; eventually 1 in Putnam). Potentially due to local outsourcing requirements. This happens automatically for Certinia and Oracle entities through an interface</t>
  </si>
  <si>
    <t>P3 Issues / Corrections</t>
  </si>
  <si>
    <t>Obtain Milestone Approval</t>
  </si>
  <si>
    <t>P2 Initiate Milestone Update Requests</t>
  </si>
  <si>
    <t>P2 Targeted Partner Meetings</t>
  </si>
  <si>
    <t>Proactive unbilled escalation to Operations (Account Managers) via emailed PowerBI report (downloaded and emailed)</t>
  </si>
  <si>
    <t>P3 Request Budget Updates</t>
  </si>
  <si>
    <t>When PO comes in or something wasn't represented properly on the invoice - request to Operations to update budget/project in system</t>
  </si>
  <si>
    <t>Milestone Lifecycle</t>
  </si>
  <si>
    <t>P2 Process Milestone Updates</t>
  </si>
  <si>
    <t>P3 Oracle Site Creation</t>
  </si>
  <si>
    <t>P3 Client Vendor Registration</t>
  </si>
  <si>
    <t>P3 PO Placement</t>
  </si>
  <si>
    <t>P3 Milestone Cancellations</t>
  </si>
  <si>
    <t>Any change in system for metadata (e.g., invoice something but PO was closed; pass through cost classified as part of fees; bill-to entity; etc.). Today done by Invoicing team</t>
  </si>
  <si>
    <t>Milestones cancelled; Invoicing having conversations with Client Services who will hold last invoice; budget is reduced or taken as a write off; sent to Project Operations to action/track</t>
  </si>
  <si>
    <t>P4 Full Inbox Management</t>
  </si>
  <si>
    <t>Risk Management &amp; Escalations</t>
  </si>
  <si>
    <t>Escalations. Similar to Targeted Partner Meetings, but with Finance instead of Operations</t>
  </si>
  <si>
    <t>Catch-all invoicing inbox related to invoicing - new bank account; invoice rejections; clients request accrual estimate; PO submission; etc.</t>
  </si>
  <si>
    <t>P4 Paperless Pursuits (report)</t>
  </si>
  <si>
    <t>P4 PARR (Projects At-Risk Register) (report)</t>
  </si>
  <si>
    <t xml:space="preserve">All active projects that may start this month but don't have paperwork. Trending towards PARR but not at-risk yet. Accured income management - aging accrued income on project which may be fully contracted without authorisation to invoice. Distributed widely </t>
  </si>
  <si>
    <t>Step</t>
  </si>
  <si>
    <t>Agent Considerations</t>
  </si>
  <si>
    <t>Mapping</t>
  </si>
  <si>
    <t>No change</t>
  </si>
  <si>
    <t>Contract capture agent - prompt Client Services to make updates</t>
  </si>
  <si>
    <t>To be captured via Contract Capture agent at PO submission</t>
  </si>
  <si>
    <t>Invoicing agent - GFS to work through invoice rejections queue</t>
  </si>
  <si>
    <t>A PO is forwarded to Invoicing team; need to add to system and register for milestones</t>
  </si>
  <si>
    <r>
      <rPr>
        <b/>
        <sz val="11"/>
        <color theme="1"/>
        <rFont val="Calibri"/>
        <family val="2"/>
        <scheme val="minor"/>
      </rPr>
      <t>Change management</t>
    </r>
    <r>
      <rPr>
        <sz val="11"/>
        <color theme="1"/>
        <rFont val="Calibri"/>
        <family val="2"/>
        <scheme val="minor"/>
      </rPr>
      <t xml:space="preserve"> - Client Service / Project Manager to close out those milestones rather than going to Project Ops</t>
    </r>
  </si>
  <si>
    <t xml:space="preserve">- Secondary escalations (at Grainne level - monthly review). Projects that are active and generating revenue that don't have a PO. Distributed widely 
- No commercial model to put controls in to prevent time from being incurred. </t>
  </si>
  <si>
    <r>
      <rPr>
        <b/>
        <sz val="11"/>
        <color theme="1"/>
        <rFont val="Calibri"/>
        <family val="2"/>
        <scheme val="minor"/>
      </rPr>
      <t>Both agents</t>
    </r>
    <r>
      <rPr>
        <sz val="11"/>
        <color theme="1"/>
        <rFont val="Calibri"/>
        <family val="2"/>
        <scheme val="minor"/>
      </rPr>
      <t xml:space="preserve"> - flag clients that do/don't require a PO</t>
    </r>
  </si>
  <si>
    <r>
      <t xml:space="preserve">Automatically validate alignment with MSA / </t>
    </r>
    <r>
      <rPr>
        <b/>
        <sz val="9"/>
        <color rgb="FF000000"/>
        <rFont val="Arial"/>
        <family val="2"/>
      </rPr>
      <t xml:space="preserve">signed </t>
    </r>
    <r>
      <rPr>
        <sz val="9"/>
        <color rgb="FF000000"/>
        <rFont val="Arial"/>
        <family val="2"/>
      </rPr>
      <t xml:space="preserve">SOW and revenue recognition rules. Projects must be Active in PSA (e.g., signed SOW) to enable revenue recognition </t>
    </r>
  </si>
  <si>
    <t>Invoicing agent - prompt Project Manager / Client Services for unbilled on Milestones and T&amp;M</t>
  </si>
  <si>
    <t xml:space="preserve">To-be - proactive prompting straight to stakeholder via Invoicing Agent </t>
  </si>
  <si>
    <t>- Secondary escalation to Operations (Account Managers and Senior Individuals) via meeting
- If there's an update to the milestone, that's usually taken by the Invoicing team</t>
  </si>
  <si>
    <r>
      <t xml:space="preserve">- No change
- </t>
    </r>
    <r>
      <rPr>
        <b/>
        <sz val="11"/>
        <color theme="1"/>
        <rFont val="Calibri"/>
        <family val="2"/>
        <scheme val="minor"/>
      </rPr>
      <t>Change management</t>
    </r>
    <r>
      <rPr>
        <sz val="11"/>
        <color theme="1"/>
        <rFont val="Calibri"/>
        <family val="2"/>
        <scheme val="minor"/>
      </rPr>
      <t>; Client Services should update held/cancelled milestones timely (prompt via KPI tracking on report produced by Agent)</t>
    </r>
  </si>
  <si>
    <t>Invoicing agent - as per above</t>
  </si>
  <si>
    <t>- To-be state would be done by GFS; Client Services accountable
- If no PO, GFS</t>
  </si>
  <si>
    <t>To-be state - would link to MSA/SOW/PO/project via Contract Capture Agent</t>
  </si>
  <si>
    <t>Contract capture agent - PO routing and linkage</t>
  </si>
  <si>
    <t>To-be state - any queries would be sent to a central mailbox monitored by GFS. Invoice / PO submissions should be routed to Agent. Update workflow status in Agent or Oracle (e.g., invoice rejection status)</t>
  </si>
  <si>
    <t>Invoicing agent or Oracle invoicing module - enable workflow tracking</t>
  </si>
  <si>
    <t>P4 Past Due Milestone Management</t>
  </si>
  <si>
    <t>Invoicing agent - prompt Division Finance for unbilled on Milestones and T&amp;M</t>
  </si>
  <si>
    <t>Unbilled Revenue Monitoring &amp; Escalation</t>
  </si>
  <si>
    <t>Monitor aging uninvoiced balances, unresolved billing dependencies and at-risk projects. Trigger proactive stakeholder prompts, escalation workflows and governance reviews to support timely invoice generation and resolution of unbilled balances</t>
  </si>
  <si>
    <t>Unbilled Revenue Monitoring</t>
  </si>
  <si>
    <t>Unbilled Resolution Tracking</t>
  </si>
  <si>
    <t>Move to Oracle or establish automated integration. Invoice generated out of ERP (Oracle/Maconomy). In the interim state, no change to as-is process (GFS)</t>
  </si>
  <si>
    <t xml:space="preserve">- Invoice rejection resolution (e.g., incorrect/missing information or didn't hit milestone)
- Notification to Billing team via email or Customer Portal. Dawn's team do Portal checks 1 week after invoices are submitted before handing off to Collections
- First line of defense for resolution is GFS, then to Divisional Finance to interface with Client Services </t>
  </si>
  <si>
    <r>
      <t xml:space="preserve">PoC discussions: </t>
    </r>
    <r>
      <rPr>
        <b/>
        <sz val="11"/>
        <color rgb="FFFF0000"/>
        <rFont val="Calibri"/>
        <family val="2"/>
        <scheme val="minor"/>
      </rPr>
      <t>Periodic revew</t>
    </r>
    <r>
      <rPr>
        <sz val="11"/>
        <color rgb="FFFF0000"/>
        <rFont val="Calibri"/>
        <family val="2"/>
        <scheme val="minor"/>
      </rPr>
      <t xml:space="preserve"> vs. prompts</t>
    </r>
  </si>
  <si>
    <r>
      <t xml:space="preserve">PoC discussions: Periodic revew vs. </t>
    </r>
    <r>
      <rPr>
        <b/>
        <sz val="11"/>
        <color rgb="FFFF0000"/>
        <rFont val="Calibri"/>
        <family val="2"/>
        <scheme val="minor"/>
      </rPr>
      <t>prompts</t>
    </r>
  </si>
  <si>
    <t>To-be state would be done by GFS</t>
  </si>
  <si>
    <t>No master data record exists. Reach out to Master Data team to get a site created so they can bill against
- E.g., Europe signs contract; PO for both US and EU; only one signs SOW</t>
  </si>
  <si>
    <t>Affiliate legal entity/agency needs to be added to Client system as Vendor. Usually done at the time a PO is submitted (would indicate a mismatch between SOW and PO). Today this is done by Invoicing team
- Prompt is an inbound (at contracting; various steps)</t>
  </si>
  <si>
    <t xml:space="preserve">- Individual invoice status (draft, submitted, etc.) What's invoicing status of this project; how much have I billed
- Not all projects are single project; not all POs are single project. Invoicing team investigates </t>
  </si>
  <si>
    <t>ERP / Concur</t>
  </si>
  <si>
    <t>Validate submitted billable hours, contracted rates and billing summaries for the billing period. Validate against agreed T&amp;M billing caps where applicable, as per SOW. For T&amp;M projects using scheduled billing arrangements, validate scheduled invoice amounts and associated billing schedule, as per SOW</t>
  </si>
  <si>
    <t xml:space="preserve">Confirm all reimbursable expenses for the billing period have been submitted and approved </t>
  </si>
  <si>
    <t>For T&amp;M billing, automatically compile submitted billable hours and contracted billing rates for the invoicing period. Apply agreed T&amp;M billing caps where applicable, as per SOW. Where scheduled billing arrangements apply, compile invoice amounts in line with contracted billing schedule in executed SOW</t>
  </si>
  <si>
    <t xml:space="preserve">Automatically compile approved reimbursable employee and project expenses for invoice generation </t>
  </si>
  <si>
    <t>Include invoice narrative, billing period references, deliverables, client-specific language and supplemental attachments where required under contract terms. Include SOW reference ID / Project Number and PO Number(s) in narrative</t>
  </si>
  <si>
    <r>
      <t xml:space="preserve">- ServiceNow - platform for GFS Collections (billing &amp; revenue not currently in this model)
- Potential to use ServiceNow to route emails to track workflow (?) - </t>
    </r>
    <r>
      <rPr>
        <b/>
        <sz val="11"/>
        <color rgb="FFFF0000"/>
        <rFont val="Calibri"/>
        <family val="2"/>
        <scheme val="minor"/>
      </rPr>
      <t>OPEN</t>
    </r>
    <r>
      <rPr>
        <sz val="11"/>
        <color rgb="FFFF0000"/>
        <rFont val="Calibri"/>
        <family val="2"/>
        <scheme val="minor"/>
      </rPr>
      <t xml:space="preserve"> (potential for IT initiatives list); GFS review service now and where relevant to pass through to agent</t>
    </r>
  </si>
  <si>
    <t xml:space="preserve">- Notification to Billing team via email or Customer Portal (no change)
- Dawn's team can continue to check Portal checks after invoice submission (no change)
- First line of defense for resolution is GFS, then Client Services. Divisional Finance is removed from intermediary step </t>
  </si>
  <si>
    <t>Ignite: Divisional Finance is removed from intermediary step (GFS &gt; DF &gt; CS)</t>
  </si>
  <si>
    <t>5.3.2.5</t>
  </si>
  <si>
    <t>Capture in system initiatives list</t>
  </si>
  <si>
    <t>N/A (via integration or transition to Oracle). Capture in system initiatives list</t>
  </si>
  <si>
    <r>
      <t xml:space="preserve">- Invoice status tracking and balance billed to-date captured in Agent
- </t>
    </r>
    <r>
      <rPr>
        <sz val="11"/>
        <color rgb="FFFF0000"/>
        <rFont val="Calibri"/>
        <family val="2"/>
        <scheme val="minor"/>
      </rPr>
      <t>OPEN</t>
    </r>
    <r>
      <rPr>
        <sz val="11"/>
        <rFont val="Calibri"/>
        <family val="2"/>
        <scheme val="minor"/>
      </rPr>
      <t>: Flush out complexities outside of 1:1 matching (e.g., multi-PO)</t>
    </r>
  </si>
  <si>
    <t>Identify projects with recognised or accrued revenue that remain uninvoiced beyond agreed billing timelines, including projects with missing milestone updates, delayed billing triggers, missing PO/documentation or unresolved billing dependencies</t>
  </si>
  <si>
    <t>Proactive Prompting</t>
  </si>
  <si>
    <t>Trigger proactive prompt and review workflow to Account Managers for unresolved unbilled balances, overdue billing milestones and delayed billing activity</t>
  </si>
  <si>
    <t>PowerBI</t>
  </si>
  <si>
    <t>Track aging, resolution status and corrective actions for unresolved unbilled balances through to invoice generation, write-off or escalation closure</t>
  </si>
  <si>
    <t>Projects At-Risk Register (PARR) nd Paperless Pursuits Monitoring</t>
  </si>
  <si>
    <t>Escalate unresolved unbilled balances, overdue billing milestones and unresolved billing dependencies to Finance and Operations leadership for resolution prior in line with defined aging or escalation thresholds</t>
  </si>
  <si>
    <t>Escalation Review</t>
  </si>
  <si>
    <t>Monitor projects generating revenue without approved PO, billing authorisation or executed contract documentation. Escalate unresolved commercial, contractual or billing risks through PARR and Paperless Pursuit governance processes</t>
  </si>
  <si>
    <t>5.1.6.12</t>
  </si>
  <si>
    <t>5.1.6.13</t>
  </si>
  <si>
    <t>5.1.6.14</t>
  </si>
  <si>
    <t>Generate Billing Document</t>
  </si>
  <si>
    <r>
      <t>Route billing document for Project Manager review where required</t>
    </r>
    <r>
      <rPr>
        <b/>
        <sz val="9"/>
        <rFont val="Arial"/>
        <family val="2"/>
      </rPr>
      <t xml:space="preserve"> </t>
    </r>
    <r>
      <rPr>
        <sz val="9"/>
        <rFont val="Arial"/>
        <family val="2"/>
      </rPr>
      <t>(T&amp;M non-scheduled billing only) prior to invoice generation and client submission</t>
    </r>
  </si>
  <si>
    <t>Route billing document to Project Manager via automated workflow for review and approval</t>
  </si>
  <si>
    <t>Invoice Approved for Client Review or Submission?</t>
  </si>
  <si>
    <t>Facilitate client review of billing document, resolve queries and obtain approval</t>
  </si>
  <si>
    <t>Submit Billing Document to Client for Review</t>
  </si>
  <si>
    <t>Submit billing documnet to client for review where required under agreed billing arrangements or client requirements</t>
  </si>
  <si>
    <t>5.2.1.3</t>
  </si>
  <si>
    <t>Client Review Required?</t>
  </si>
  <si>
    <t xml:space="preserve">Determine whether client review of billing document is required prior to invoice generation </t>
  </si>
  <si>
    <t>Identify Delivery Method for Client Review</t>
  </si>
  <si>
    <t>Determine delivery method for client billing document review (e.g., email or secure file-sharing channel)</t>
  </si>
  <si>
    <t>Transmit billing document to client via agreed submission channel. Include supporting documentation as required (e.g. timesheets, deliverable summaries). Confirm agreed client review and response timeframe</t>
  </si>
  <si>
    <t>Email</t>
  </si>
  <si>
    <t>Obtain client approval to proceed with invoice generation and issuance</t>
  </si>
  <si>
    <t>Finalise billing document, perform final validation within Billing Agent and push approved billing output to ERP for invoice generation and client submission</t>
  </si>
  <si>
    <t>ERP Invoice Generation Trigger</t>
  </si>
  <si>
    <t>Push approved billing document from Billing Agent to ERP to trigger final invoice generation and downstream client submission process</t>
  </si>
  <si>
    <t>Prompt user to review and apply admin fee, billing adjustments including credits, write-downs, billing holds and excluded line items prior to invoice generation</t>
  </si>
  <si>
    <t>Finalise Billing Document</t>
  </si>
  <si>
    <t>Final Billing Document Validation</t>
  </si>
  <si>
    <t>Perform final validation of billing document and structured e-invoice requirements within Billing Agent prior to ERP handoff, including validation of billing completeness, submission requirements and formatting standards</t>
  </si>
  <si>
    <t>Generate final invoice within ERP using approved billing document, reimbursable expenses and validated invoice structure</t>
  </si>
  <si>
    <t>ERP Billing Document Receipt</t>
  </si>
  <si>
    <t>Receive approved billing document from Billing Agent within ERP for final invoice generation</t>
  </si>
  <si>
    <t>Reimbursable Expense Integration</t>
  </si>
  <si>
    <t>Append approved reimbursable expenses and associated ERP-based billing items (e.g., Concur expenses) to invoice structure where applicable</t>
  </si>
  <si>
    <t>Apply and validate tax treatment across fees, passthrough charges and reimbursable expenses based on billing entity jurisdiction, client location, service type and invoicing method</t>
  </si>
  <si>
    <t>Final Invoice / E-Invoice Generation</t>
  </si>
  <si>
    <t>Generate final invoice or structured e-invoice output within ERP using validated billing data and approved invoice structure</t>
  </si>
  <si>
    <t>5.3.3.4</t>
  </si>
  <si>
    <t>5.3.3.5</t>
  </si>
  <si>
    <t>5.3.5</t>
  </si>
  <si>
    <t>5.3.5.1</t>
  </si>
  <si>
    <t>5.3.5.2</t>
  </si>
  <si>
    <t>5.3.5.3</t>
  </si>
  <si>
    <t>5.3.6</t>
  </si>
  <si>
    <t>5.3.6.1</t>
  </si>
  <si>
    <t>5.3.6.2</t>
  </si>
  <si>
    <t>5.3.6.3</t>
  </si>
  <si>
    <t>5.3.6.4</t>
  </si>
  <si>
    <t>5.3.6.5</t>
  </si>
  <si>
    <t>Billing Agent / PowerBI</t>
  </si>
  <si>
    <r>
      <t xml:space="preserve">Issue final approved invoice to client via required submission channel (e.g., email, AP portal, EDI, e-invoicing, mail). </t>
    </r>
    <r>
      <rPr>
        <sz val="9"/>
        <rFont val="Arial"/>
        <family val="2"/>
      </rPr>
      <t>Where required, follow client-specific submission protocol</t>
    </r>
    <r>
      <rPr>
        <sz val="9"/>
        <color rgb="FF000000"/>
        <rFont val="Arial"/>
        <family val="2"/>
      </rPr>
      <t>s</t>
    </r>
  </si>
  <si>
    <t>Post issued invoice to AR sub-ledger and update associated accounting balances, AR aging and intercompany accounting records</t>
  </si>
  <si>
    <t>Automatically post issued invoice to AR sub-ledger and update customer balance. System generates AR aging entry and updates project billing records</t>
  </si>
  <si>
    <t>Initiate intercompany recharge process where work is delivered by one entity and billed through another entity. Submit provider and receiver entity details and trigger associated intercompany accounting entries</t>
  </si>
  <si>
    <t>Perform billing reconciliations and confirm billing completeness, intercompany settlement and billing period close activities</t>
  </si>
  <si>
    <t>Reconcile billed amounts against contract value, SOW billing schedule, approved billing events and PO balances. Identify overbilling, underbilling or remaining uninvoiced balances</t>
  </si>
  <si>
    <t>5.1.1.1</t>
  </si>
  <si>
    <t>Contract Capture Agent / Billing Agent</t>
  </si>
  <si>
    <t>PSA / Billing Agent</t>
  </si>
  <si>
    <t>Concur / ERP</t>
  </si>
  <si>
    <t>Client Services / Account Managers / Project Manager</t>
  </si>
  <si>
    <t xml:space="preserve">Compile billable items, apply billing treatments and prepare invoice structure, including consolidation across projects (parent / IHL-billing) and client-specific invoicing requirements, as required </t>
  </si>
  <si>
    <t>Contract Capture Agent / Billing Agent / PSA</t>
  </si>
  <si>
    <t>Determine whether billing document and billing inputs are approved for client submission. If rejected, provide reasoning</t>
  </si>
  <si>
    <t>Biling Agent prompts user to review billing document for billing accuracy, client-specific invoicing requirements and completeness of supporting information prior to client submission</t>
  </si>
  <si>
    <t>Submit Billing Document for Client Review</t>
  </si>
  <si>
    <t>Revise Billing Document if Required</t>
  </si>
  <si>
    <t>If query results in a change, correct billing data and regenerate billing document</t>
  </si>
  <si>
    <t>Review client query against contract terms, billing data and supporting documentation. Resolve query and prepare client response or billing document revision where required</t>
  </si>
  <si>
    <t>Address client queries or disputes. Provide supporting documentation or revise billing document as required</t>
  </si>
  <si>
    <t>ERP / Billing Agent / PSA</t>
  </si>
  <si>
    <t>Automated (or GFS in absence of Automation)</t>
  </si>
  <si>
    <t>Contract Capture Agent / PSA / ERP</t>
  </si>
  <si>
    <t>Contract Capture Agent / PSA</t>
  </si>
  <si>
    <t xml:space="preserve">PSA / Contract Capture Agent </t>
  </si>
  <si>
    <t>CLM (for active contract)</t>
  </si>
  <si>
    <t>Calculate accrued revenue for earned but unbilled amounts, and deferred revenue for billed but unearned amounts in line with agreed revenue recognition treatment</t>
  </si>
  <si>
    <t>Recognise revenue at the primary project level wherever operationally feasible to support aggregated  revenue recognition treatment
For Fixed Fee and milestone-based projects, recognise revenue based on validated percentage of completion against contracted project value
Milestone - by exception only: Where PoC is not applicable, recognise revenue based on value associated with completed milestone
Known exception: Evoke recognising based on milestone completion</t>
  </si>
  <si>
    <t>Customer &amp; Contract Setup</t>
  </si>
  <si>
    <t>Contributing (C)</t>
  </si>
  <si>
    <t>Establish the client relationship, execute contractual agreements, define commercial and billing framework terms, and complete operational setup requirements to support downstream delivery, revenue recognition and invoicing</t>
  </si>
  <si>
    <t>Create customer master data record including customer hierarchy and required customer attributes to support downstream contracting, billing and reporting processes</t>
  </si>
  <si>
    <t>Customer Master Data Creation</t>
  </si>
  <si>
    <t>Customer Master Data Review</t>
  </si>
  <si>
    <t xml:space="preserve">Review customer master data submitted from CRM and identify missing, incomplete or conflicting customer attributes required for record creation. Populate missing fields where possible (e.g., internal segmentation codes) </t>
  </si>
  <si>
    <t>Client Services Input Required?</t>
  </si>
  <si>
    <t>Determine whether Client Services input is required to complete missing customer master data fields</t>
  </si>
  <si>
    <t>Request Additional Customer Information</t>
  </si>
  <si>
    <t>Request missing or incomplete customer information from Client Services or customer contacts where required for customer master setup</t>
  </si>
  <si>
    <t>ServiceNow / Email</t>
  </si>
  <si>
    <t>Complete Customer Master Data</t>
  </si>
  <si>
    <t>Obtain and populate missing customer master data fields required for customer record creation, hierarchy setup and billing enablement</t>
  </si>
  <si>
    <t>Create customer record within ERP/MDM system and establish associated customer hierarchy, billing entity structure and customer identifiers</t>
  </si>
  <si>
    <t>Customer Record Creation</t>
  </si>
  <si>
    <t>Customer ID &amp; CRM Update</t>
  </si>
  <si>
    <t>ERP / CRM</t>
  </si>
  <si>
    <t>Automated (or Global Master Data in absence of automation)</t>
  </si>
  <si>
    <t>Update CRM / customer source systems with created customer identifier and customer master record status</t>
  </si>
  <si>
    <t>ERP / ServiceNow</t>
  </si>
  <si>
    <t>Initiate customer and opportunity setup process from Sales / Business Development pipeline activity and capture preliminary customer and opportunity information</t>
  </si>
  <si>
    <t>Create Prospect &amp; Customer Record in CRM</t>
  </si>
  <si>
    <t>Create prospect, company and associated contact records in CRM. Capture preliminary customer and opportunity details including client name, region, industry, service line and opportunity scope. Perform duplicate review and link to existing customer records where applicable</t>
  </si>
  <si>
    <t>Opportunity Creation</t>
  </si>
  <si>
    <t>Create opportunity record in CRM and capture estimated value, engagement type, expected close date, pipeline stage, opportunity owner and preliminary commercial structure</t>
  </si>
  <si>
    <t>Structured Excel / PSA / CRM</t>
  </si>
  <si>
    <t>Quote Generation</t>
  </si>
  <si>
    <t>Generate preliminary pricing estimate or quote based on expected scope, resource requirements, commercial model and applicable rate structure. Client Services leads quote development using approved commercial guardrails and standard cost rates maintained by Divisional Finance through annual tooling/rate card updates. Quote generation may be performed through PSA, CRM or structured pricing templates, as applicable.</t>
  </si>
  <si>
    <t>Margin Threshold Approval Required?</t>
  </si>
  <si>
    <t>1.1.1.7</t>
  </si>
  <si>
    <t>Advance Opportunity Through Pipeline Stages</t>
  </si>
  <si>
    <t>Existing Customer Record Check</t>
  </si>
  <si>
    <t>Determine whether customer already exists within ERP / master data systems and identify whether new customer setup or hierarchy updates are required</t>
  </si>
  <si>
    <t>Progress opportunity through defined CRM pipeline stages based on commercial qualification, proposal activity and client engagement status</t>
  </si>
  <si>
    <t>Customer Master Data Request Initiation</t>
  </si>
  <si>
    <t>Initiate customer master data setup request for new customers or required hierarchy/billing structure updates and route to Master Data Management team for review and processing</t>
  </si>
  <si>
    <t>Third party provider assumed</t>
  </si>
  <si>
    <t>Perform customer credit assessment, financial due diligence and compliance screening to determine customer risk profile, payment terms, credit controls and onboarding eligibility</t>
  </si>
  <si>
    <t>Perform regulatory and policy screening checks including sanctions, AML, watchlists and restricted party validation to confirm the customer relationship is permissible prior to onboarding or credit approval</t>
  </si>
  <si>
    <t>Assess customer creditworthiness using payment history, trade references, credit bureau data, financial statements and existing exposure to determine customer risk profile and recommended credit treatment</t>
  </si>
  <si>
    <t>Apply approved scoring models, risk rules and credit policies to generate standardised customer credit risk rating and recommended credit controls</t>
  </si>
  <si>
    <t>Determine credit outcome based on risk assessment and policy thresholds (e.g., approve, approve with restrictions, apply credit hold, escalate for review or reject) and define provisional payment terms where applicable</t>
  </si>
  <si>
    <t>Notify relevant stakeholders of approved credit status, payment terms, credit restrictions or hold conditions</t>
  </si>
  <si>
    <t>Determine whether customer engagement requires a multi-division operating model (including CIC-contracted customers) and establish parent division ownership, commercial alignment and billing structure prior to contract execution</t>
  </si>
  <si>
    <t>Multi-Division Engagement Structure Required (including IHL)?</t>
  </si>
  <si>
    <t>Determine whether multiple divisions are participating in delivery, contracting or billing under a shared client relationship, MSA framework or centralised billing structure</t>
  </si>
  <si>
    <t>Identify divisions participating in delivery, billing or commercial ownership for the engagement</t>
  </si>
  <si>
    <t>Define division-level delivery scope, billing responsibility and billing-on-behalf structure aligned to parent division requirements</t>
  </si>
  <si>
    <t>Assign parent division for the engagement / customer account based on agreed ownership criteria. Point of Origination drives parent assignment for new customers. For existing customers, determine parent ownership based on agreed commercial and delivery factors (e.g., revenue share, delivery footprint, key account ownership). Record agreed parent division ownership within CRM / account structure where applicable</t>
  </si>
  <si>
    <t>Establish or validate the governing Master Services Agreement (MSA), define high-level commercial and billing framework terms, complete legal execution and capture contractual data required to support downstream project setup, billing and revenue recognition processes</t>
  </si>
  <si>
    <t>Select appropriate MSA template based on division, service line and legal jurisdiction</t>
  </si>
  <si>
    <t>1.1.5.16</t>
  </si>
  <si>
    <t>Populate MSA Master Data &amp; Reference ID</t>
  </si>
  <si>
    <t xml:space="preserve">Populate customer, legal and billing master data within MSA template. Generate MSA reference identifier within CLM for downstream project setup and invoicing processes. Where applicable, align MSA master data to agreed parent division ownership and billing structure, and capture participating divisions/entities </t>
  </si>
  <si>
    <t>Customer Affiliate Entity Identification</t>
  </si>
  <si>
    <t>1.1.5.17</t>
  </si>
  <si>
    <t>1.1.5.18</t>
  </si>
  <si>
    <t>To-be state at MSA (Master Data), SOW (contract setup - groups and affiliates) and PO (affiliate) steps - ensure all affiliate entities are in Master Data</t>
  </si>
  <si>
    <t>1.1.5.19</t>
  </si>
  <si>
    <t>Client Vendor Setup Initiation</t>
  </si>
  <si>
    <t>Prompt customer to onboard the organisation and participating entities as approved vendors within customer procurement, AP or invoicing systems to support downstream invoice submission and prevent billing bottlenecks</t>
  </si>
  <si>
    <t>Validate whether local e-invoicing regulations apply based on billing jurisdiction, billing entity and customer requirements. If required, capture e-invoicing identifiers where applicable</t>
  </si>
  <si>
    <t>Use CLM workflow to route draft MSA to Legal for review of draft MSA terms, including non-standard clauses, commercial deviations and customer-specific contractual requirements prior to execution</t>
  </si>
  <si>
    <t>Identify customer affiliate entities, subsidiaries or related billing entities that may engage under the MSA or future SOWs and determine applicability to the contractual and billing structure</t>
  </si>
  <si>
    <t>Define high-level contractual and billing framework terms including payment terms, currency, billing frequency, delivery format (e.g., e-invoicing), rate cards (if applicable) and agreed discount / rebate structure. . Where applicable, align commercial terms to agreed parent division structure and permit use of scheduled billing arrangements to support downstream billing operations and invoice automation</t>
  </si>
  <si>
    <t>Draft MSA Upload to Agent</t>
  </si>
  <si>
    <t>1.1.5.20</t>
  </si>
  <si>
    <t>Determine whether Legal approves the MSA draft for customer execution. If rejected, return with comments</t>
  </si>
  <si>
    <t>Internal Signature Routing</t>
  </si>
  <si>
    <t>Transmit internally approved MSA to customer signatories through DocuSign execution workflow</t>
  </si>
  <si>
    <t>1.1.5.21</t>
  </si>
  <si>
    <t>Exception: Customer Signs First?</t>
  </si>
  <si>
    <t>Upload Customer-Signed MSA to Agent</t>
  </si>
  <si>
    <t>Contract Execution Validation</t>
  </si>
  <si>
    <t>Automated notification sent to GFS to prompt for client portal setup and e-invoicing configuration, if applicable</t>
  </si>
  <si>
    <t>Configure client portal access, e-invoicing and customer-specific invoice delivery requirements to support downstream billing process</t>
  </si>
  <si>
    <t>Push Executed MSA to HighQ</t>
  </si>
  <si>
    <t>Commercial Affairs / Client Services / Account Managers</t>
  </si>
  <si>
    <t>Contract Capture Agent / CLM</t>
  </si>
  <si>
    <t>Route Legal-approved, customer-signed MSA for internal execution completion following Agent review of iteration history and contractual changes</t>
  </si>
  <si>
    <t>Internal Signature Completion</t>
  </si>
  <si>
    <t>Contract Capture Agent / CLM (DocuSign)</t>
  </si>
  <si>
    <t>Upload customer-signed MSA draft to Contract Capture Agent (via email or direct upload) for review of iteration history and contractual changes prior to internal execution completion. If changes were made to Legal-approved version, route back to Legal for review. Previous MSA versions are appended for version control</t>
  </si>
  <si>
    <t>Upload Legal-approved, unsigned MSA document to Contract Capture Agent (via HighQ integration or direct upload) to establish version control prior to execution routing 
Key MSA components are extracted (e.g., MSA reference ID) and structured (e.g., key customer, commercial and contractual data) to support project setup. Links to parent MSA, if applicable</t>
  </si>
  <si>
    <t>Confirms counterparty signatures are captured and the contract is legally binding before proceeding. Change document status to "Executed"</t>
  </si>
  <si>
    <t xml:space="preserve">Push fully executed MSA and associated execution metadata to HighQ CLM as the contractual system of record </t>
  </si>
  <si>
    <t>Receive new project opportunity</t>
  </si>
  <si>
    <t>CLM / Contract Capture Agent</t>
  </si>
  <si>
    <t>Select appropriate SOW template based on division, commercial model, project type and customer requirements. Ensure the selected template contains structured contractual, commercial, billing and revenue recognition elements required to support downstream automation</t>
  </si>
  <si>
    <t>Identify customer affiliate entities, subsidiaries or related billing entities that may engage under the SOW</t>
  </si>
  <si>
    <t>Populate Contractual Reference Data</t>
  </si>
  <si>
    <t xml:space="preserve">Populate contracting entities, participating divisions, customer references and applicable MSA reference information in line with agreed parent division structure. Include MSA reference and generate SOW reference ID </t>
  </si>
  <si>
    <t>1.2.2.13</t>
  </si>
  <si>
    <t>1.2.2.14</t>
  </si>
  <si>
    <t>1.2.2.15</t>
  </si>
  <si>
    <t>Define engagement-specific commercial model, rates/fees, billing triggers and upfront payment requirements (if applicable) for the proposed scope of work. For multi-division engagements, establish consolidated billing and align commercial terms to the designated Parent division. Where permitted under agreed MSA terms, use scheduled billing arrangements for T&amp;M and Fixed Fee engagements to simplify downstream billing and invoice generation. Define billable vs. non-billable guidelines</t>
  </si>
  <si>
    <t>Define Commercial &amp; Billing Structure</t>
  </si>
  <si>
    <t>Define pass-through treatment based on agreed commercial structure (e.g., percentage markup, fixed fee with or without markup, direct recharge, mgmt. / service fee), and related invoicing requirements (e.g., line item detail)</t>
  </si>
  <si>
    <t>Generate draft SOW document using structured contractual, commercial and billing inputs</t>
  </si>
  <si>
    <t>Update draft SOW or document agreed scope, pricing or commercial changes prior to downstream review and approval. Alternatively, capture authorised scope changes in letter or email from client (using structured inputs) with MSA / SOW reference included</t>
  </si>
  <si>
    <t>Review draft SOW against governing MSA to confirm alignment to agreed commercial, billing and contractual terms (e.g., payment terms). Link to governing MSA using reference ID</t>
  </si>
  <si>
    <r>
      <t xml:space="preserve">Exception process allowing project activation and commencement of work prior to full SOW execution using approved draft contractual documentation and </t>
    </r>
    <r>
      <rPr>
        <b/>
        <sz val="9"/>
        <rFont val="Arial"/>
        <family val="2"/>
      </rPr>
      <t>documented customer authorisation</t>
    </r>
    <r>
      <rPr>
        <sz val="9"/>
        <rFont val="Arial"/>
        <family val="2"/>
      </rPr>
      <t>. Apply time-bound controls, risk approvals and escalation requirements until contractual execution is complete. Use 'Proposal' status in PSA to prevent revenue recognition until SOW is executed</t>
    </r>
  </si>
  <si>
    <t>Determine whether there is a business need to commence work prior to full SOW execution. Route the at-risk start request for internal approval.</t>
  </si>
  <si>
    <r>
      <rPr>
        <b/>
        <sz val="9"/>
        <rFont val="Arial"/>
        <family val="2"/>
      </rPr>
      <t>Define working-at-risk time bounds and escalation requirements for unresolved client approvals or contract execution delays</t>
    </r>
    <r>
      <rPr>
        <sz val="9"/>
        <rFont val="Arial"/>
        <family val="2"/>
      </rPr>
      <t>. Approval confirms acceptance of commercial and contractual risk</t>
    </r>
  </si>
  <si>
    <t xml:space="preserve">Monitor projects operating under at-risk ('Proposal') status and track incurred costs, aging and contractual execution status. If contract execution delay exceeds defined threshold (e.g., 2 weeks without executed SOW), trigger escalation to reassess continuation of work </t>
  </si>
  <si>
    <t>SOW Review &amp; Execution</t>
  </si>
  <si>
    <t>Review, negotiate and execute SOW. Capture executed contractual data required to support downstream project setup, billing and revenue recognition processes</t>
  </si>
  <si>
    <t>1.2.4.1</t>
  </si>
  <si>
    <t>1.2.4.2</t>
  </si>
  <si>
    <t>Send SOW to Customer</t>
  </si>
  <si>
    <t>1.2.4.3</t>
  </si>
  <si>
    <t>1.2.4.4</t>
  </si>
  <si>
    <t>1.2.4.5</t>
  </si>
  <si>
    <t>1.2.4.6</t>
  </si>
  <si>
    <t>1.2.4.7</t>
  </si>
  <si>
    <t>1.2.4.8</t>
  </si>
  <si>
    <t>1.2.4.9</t>
  </si>
  <si>
    <t>1.2.4.10</t>
  </si>
  <si>
    <t>1.2.4.11</t>
  </si>
  <si>
    <t>1.2.4.12</t>
  </si>
  <si>
    <t>1.2.4.13</t>
  </si>
  <si>
    <t>1.2.4.14</t>
  </si>
  <si>
    <t>1.2.4.15</t>
  </si>
  <si>
    <t>1.2.4.16</t>
  </si>
  <si>
    <t>Determine whether customer has proposed amendments, redlines or contractual changes to the SOW requiring internal review or update</t>
  </si>
  <si>
    <t>Email / CLM</t>
  </si>
  <si>
    <t>Upload Customer-Signed SOW to Agent</t>
  </si>
  <si>
    <t>Route customer-signed SOW for internal execution completion following Agent review of iteration history and contractual changes</t>
  </si>
  <si>
    <r>
      <rPr>
        <b/>
        <sz val="9"/>
        <rFont val="Arial"/>
        <family val="2"/>
      </rPr>
      <t xml:space="preserve">Where possible be the first to sign </t>
    </r>
    <r>
      <rPr>
        <sz val="9"/>
        <rFont val="Arial"/>
        <family val="2"/>
      </rPr>
      <t>within HighQ via DocuSign integration (enables technology selection). Copy relevant stakeholders for automated notification upon executed signature</t>
    </r>
  </si>
  <si>
    <t>Client reviews, negotiates (where applicable) and executes e-signature within HighQ (via DocuSign integration). Executed version replaces unsigned draft within CLM. Agent captures executed signature</t>
  </si>
  <si>
    <t>Transmit final SOW to client signatories via e-signature link within HighQ (via DocuSign integration)</t>
  </si>
  <si>
    <t>Customer reviews, negotiates (where applicable) and executes e-signature within HighQ via DocuSign integration. Executed version replaces unsigned draft within HighQ CLM. Agent captures executed signature</t>
  </si>
  <si>
    <t>Submit customer-signed SOW draft to Contract Capture Agent (via email or direct upload) for review of iteration history and contractual changes prior to internal execution completion. If changes were made to internal-approved version, route back to approver for review. Previous SOW versions are appended for version control</t>
  </si>
  <si>
    <t xml:space="preserve">Confirm that all counterparty signatures are captured and the contract is legally binding before proceeding. Change document status to "Executed" </t>
  </si>
  <si>
    <t>Re-review executed SOW against governing MSA to confirm alignment to agreed commercial, billing and contractual terms (e.g., payment terms). Link to governing MSA using reference ID</t>
  </si>
  <si>
    <t>Identify and resolve discrepancies. Update and reupload draft SOW where required</t>
  </si>
  <si>
    <t>Finance Approval Threshold Met?</t>
  </si>
  <si>
    <t>Determine whether executed SOW value exceeds defined approval threshold requiring Finance review prior to project activation</t>
  </si>
  <si>
    <t>Finance Review &amp; Approval</t>
  </si>
  <si>
    <t>Route executed SOW to Finance for review and approval where approval threshold is exceeded. Trigger automated notification to Finance and capture approval outcome prior to project activation</t>
  </si>
  <si>
    <t>Project Activation Trigger in PSA</t>
  </si>
  <si>
    <t>Push fully executed SOW and associated execution metadata to HighQ CLM as the contractual system of record. Maintain linkage to governing MSA and executed contractual records</t>
  </si>
  <si>
    <t>Push Executed SOW to HighQ</t>
  </si>
  <si>
    <t>Contract Capture Agent / PSA / PowerBI</t>
  </si>
  <si>
    <t>Determine whether upfront payment or pre-billing is required based on executed SOW terms. Flag in Billing Agent</t>
  </si>
  <si>
    <t>Upload draft SOW document (or authorised amendment letter) to Contract Capture Agent via email or direct upload for contractual review, data extraction and version control prior to execution routing
Extract and structure key scope, pricing and billing data from the SOW to support project setup, revenue recognition and invoicing. Flag whether document is New or Amended. Link to parent SOW, if applicable, and governing MSA via MSA reference ID</t>
  </si>
  <si>
    <t>Email / Portal / Contract Capture Agent</t>
  </si>
  <si>
    <t>Identify and resolve discrepancies. Where discrepancies relate to participating child divisions, the parent division lead may delegate resolution activities to the applicable child division while retaining overall accountability for alignment and resolution completion
Update SOW document (and route for re-approval) where required</t>
  </si>
  <si>
    <t>Receive customer purchase order (PO), validate PO details against governing SOW and MSA terms where applicable, and route for downstream validation, linkage and operational setup</t>
  </si>
  <si>
    <t>Determine whether PO has been received via agreed channel(s) (e.g., email, portal, EDI)</t>
  </si>
  <si>
    <t>Upload PO to Contract Capture Agent via email or direct upload for review, data extraction and downstream operational processing
Extract and structure key purchase order data including PO number, billing entity, value, dates and associated contractual references to support downstream contract setup, billing and invoicing processes. Link PO to governing SOW, MSA and related contractual records where applicable</t>
  </si>
  <si>
    <t>Determine whether PO applies to a single project, multiple projects or grouped billing structure. Define PO allocation and linkage approach across associated projects, SOWs or billing entities where applicable</t>
  </si>
  <si>
    <t>PO Allocation &amp; Group PO Identification</t>
  </si>
  <si>
    <t>Determine whether PO(s) aligns to governing SOW and applicable MSA terms, including billing entity, scope, value, billing structure, payment terms and deliverables</t>
  </si>
  <si>
    <t>Identify and resolve discrepancies (e.g., incorrect billing entity). Request PO corrections where required and upload for re-validation against governing contractual documents</t>
  </si>
  <si>
    <t>Customer Affiliate Master Data Setup Request</t>
  </si>
  <si>
    <t>Initiate creation or update of customer master data records for affiliate entities identified through the MSA, SOW or PO process that are not yet established within customer master data and are required to support downstream contracting, billing, invoicing and reporting processes</t>
  </si>
  <si>
    <t>Contract Setup / Order entry</t>
  </si>
  <si>
    <t>Push structured contractual, commercial and PO data from Contract Capture Agent into ERP to create and configure contract/order records supporting downstream billing, project setup and revenue recognition processes</t>
  </si>
  <si>
    <t>Push pricing structure, billing arrangements, payment terms and key commercial attributes from Contract Capture Agent into ERP based on executed SOW and governing MSA terms</t>
  </si>
  <si>
    <t>PO Association &amp; Billing Reference Setup</t>
  </si>
  <si>
    <t>Push validated PO references, billing entities and grouped PO allocation structure from Contract Capture Agent into ERP contract/order records where applicable</t>
  </si>
  <si>
    <t>Push billing schedules, billing triggers and invoicing parameters from Contract Capture Agent into ERP and Billing Agent aligned to contractual billing requirements</t>
  </si>
  <si>
    <t>Push structured contractual data from Contract Capture Agent into ERP to create contract/order record linked to customer, value (as per SOW) and other governing MSA / SOW references</t>
  </si>
  <si>
    <t>Create and structure the project in PSA aligned to the executed SOW (and PO, if applicable). Establish project structure, working budgets, resource alignment and billing readiness to support downstream delivery, billing and revenue recognition processes</t>
  </si>
  <si>
    <t>Project Structure Setup</t>
  </si>
  <si>
    <t>Project Margin Threshold Met?</t>
  </si>
  <si>
    <t>Determine whether project margin based on configured working budget and operational delivery assumptions falls below defined approval threshold. Where threshold is breached, obtain approval from Divisional CFO and Pillar President prior to project activation</t>
  </si>
  <si>
    <t>Determine whether estimated engagement margin falls below defined approval threshold. Where threshold is breached, obtain approval from Divisional CFO and Pillar President prior to advancing opportunity</t>
  </si>
  <si>
    <t>1.3.10</t>
  </si>
  <si>
    <t>Working Budget &amp; Resourcing Setup</t>
  </si>
  <si>
    <t>Align contractual SOW resource roles and rate assumptions to standardised PSA role structures and associated rate hierarchies integrated from Workday, which serves as the system of record for employee and organisational hierarchy data. Where differences exist between contractual role descriptions and operational role structures, PSA/Workday classifications govern project configuration, budgeting and downstream financial reporting
Initiate coordination with resource management for staffing requirements</t>
  </si>
  <si>
    <t>Enable time and expense entry against project within PSA and associated expense systems. Configure expense policies, billable/non-billable rules and project code synchronisation with expense platforms (e.g., Concur)</t>
  </si>
  <si>
    <t>Project Governance &amp; Controls Setup</t>
  </si>
  <si>
    <t>Configure project governance, reporting cadence, approval controls and change management requirements within PSA. Define approval workflows for time, expenses, billing and project changes aligned to contractual and operational governance requirements</t>
  </si>
  <si>
    <t>Document Repository Linkage</t>
  </si>
  <si>
    <t>Project Activation (Go-Live)</t>
  </si>
  <si>
    <t>1.3.11</t>
  </si>
  <si>
    <t>PSA / Concur / Contract Capture Agent</t>
  </si>
  <si>
    <t>Managing Director (MD) / Division Finance</t>
  </si>
  <si>
    <t>Time &amp; Expense Enablement</t>
  </si>
  <si>
    <t>Create and structure the project in the PSA aligned to the executed SOW (and PO, if applicable). Establish budgets, resourcing effort and configure time, expense and billing readiness. Activate the project to enable delivery, tracking and invoicing</t>
  </si>
  <si>
    <r>
      <t>Push structured contractual, commercial, billing and project setup data from Contract Capture Agent into PSA to initiate project setup workflow. PSA generates Project Identifier and establishes initial project record and ownership. For at-risk assignments, link back to Draft SOW and set project status to "Proposal" (</t>
    </r>
    <r>
      <rPr>
        <b/>
        <sz val="9"/>
        <rFont val="Arial"/>
        <family val="2"/>
      </rPr>
      <t>Evoke</t>
    </r>
    <r>
      <rPr>
        <sz val="9"/>
        <rFont val="Arial"/>
        <family val="2"/>
      </rPr>
      <t>) / (</t>
    </r>
    <r>
      <rPr>
        <sz val="9"/>
        <color rgb="FFFF0000"/>
        <rFont val="Arial"/>
        <family val="2"/>
      </rPr>
      <t>Ignite TBC</t>
    </r>
    <r>
      <rPr>
        <sz val="9"/>
        <rFont val="Arial"/>
        <family val="2"/>
      </rPr>
      <t>)</t>
    </r>
  </si>
  <si>
    <t>Configure project working budget, revenue baseline, planned costs, margin assumptions and planned delivery model assumptions within PSA based on executed contractual terms, operational delivery assumptions and approved commercial guardrails and standard cost rates/rate cards maintained by Division Finance. Working budget may differ from contractual SOW estimates where operational delivery requirements differ
Establish operational budget baseline used for forecasting, percentage-of-completion calculations and revenue recognition processes</t>
  </si>
  <si>
    <t>Resource Role Mapping &amp; Staffing Alignment</t>
  </si>
  <si>
    <t>Configure project milestones (including sub-project or work package level milestones where applicable), billing schedules and billing trigger conditions aligned to contractual delivery and invoicing requirements
Where upfront billing applies, configure "SOW Executed" milestone and mark as complete on SOW signature date to initiate billing trigger</t>
  </si>
  <si>
    <t>Configure billing controls, invoicing readiness and revenue recognition alignment within PSA and Billing Agent based on contractual billing and revenue treatment requirements. Ensure billing schedules, billing triggers and revenue recognition methods are aligned to executed SOW terms
Revenue recognition remains disabled until project status is updated to “Active” within PSA</t>
  </si>
  <si>
    <t>Automatically generate and maintain linkage between PSA project record and executed contractual documents maintained within HighQ CLM contractual repository. Contract Capture Agent populates contractual reference links within PSA for downstream operational access and audit purposes</t>
  </si>
  <si>
    <t>Validate all required project setup components are complete, including completion of required Finance threshold approvals where applicable, and activate project within PSA for operational delivery, time entry, expense entry, billing and downstream revenue recognition processing. Notify relevant stakeholders of project activation status</t>
  </si>
  <si>
    <t>Push PO to PSA</t>
  </si>
  <si>
    <t>Push validated PO data and associated contractual references to PSA and associate PO records to the applicable project, SOW and customer records to support project-level audit trail and contractual traceability</t>
  </si>
  <si>
    <t>Invoice Workflow &amp; Submission Status Tracking</t>
  </si>
  <si>
    <t>Automatically validate billing inputs against SOW, MSA, billing schedule and PO requirements. Confirm an active, valid Purchase Order (or group of Purchase Orders) is linked to the project with sufficient remaining balance to cover the billing amount, and compare to SOW/MSA for legal entity name, billing entity name, scope, milestone schedule alignment. Validate billed-to-date amounts against available PO balances and grouped PO allocations where applicable. Identify insufficient PO coverage, expired PO limits or overbilling risk prior to invoice generation. Flag exceptions for GFS review and escalation</t>
  </si>
  <si>
    <t>Multiple
ServiceNow to be captured via System Initiatives list</t>
  </si>
  <si>
    <t>Update forecasted pass-through revenue and associated costs within active project forecasts. Ensure all known pass-through fees treated as revenue are forecast in the appropriate period to support forecast accuracy and minimise variance between forecast and actual revenue</t>
  </si>
  <si>
    <t>Define forecast calendar, submission deadlines, review cadence and governance requirements for the revenue forecasting cycle</t>
  </si>
  <si>
    <t>Define forecast submission calendar, review cadence, forecast cut-off dates and approval timelines for the financial forecasting cycle</t>
  </si>
  <si>
    <t>Review and update opportunity pipeline data within CRM including deal stage, probability, expected value and forecast timing to reflect latest customer engagement status and commercial outlook</t>
  </si>
  <si>
    <t>Determine whether opportunities qualify for inclusion in weighted forecast categories based on agreed forecast governance rules including deal stage, probability and expected close timing. Apply forecast weighting based on approved deal stage classification</t>
  </si>
  <si>
    <t>Submit updated weighted pipeline and committed forecast inputs for divisional forecast consolidation and review in accordance with forecast submission timelines and governance requirements</t>
  </si>
  <si>
    <t>Capture, review and update weighted opportunity pipeline data from CRM to support divisional revenue forecasting, including new business opportunities, renewals and awarded-but-not-yet-started engagements</t>
  </si>
  <si>
    <t>Review and update forecasts for active and work-at-risk projects based on delivery progress, approved scope changes, operational delivery assumptions and latest project status</t>
  </si>
  <si>
    <t>Review and update active project forecast data within PSA forecasting modules including delivery timing, staffing assumptions, revenue forecasts, approved scope changes and working budget assumptions to reflect latest project status and operational outlook</t>
  </si>
  <si>
    <t>Submit updated existing work forecast inputs for divisional forecast consolidation and review in accordance with forecast submission timelines and governance requirements</t>
  </si>
  <si>
    <t>CRM / EPM</t>
  </si>
  <si>
    <t>PSA (Forecasting Module) / EPM</t>
  </si>
  <si>
    <t>EPM &amp; Fabric</t>
  </si>
  <si>
    <t>Create project structure within PSA linked to governing SOW, PO and customer records. Define parent-child project hierarchy, project phases, work packages, activities, milestones and delivery timelines aligned to contractual scope</t>
  </si>
  <si>
    <t>EPM / Fabric</t>
  </si>
  <si>
    <t>Sales / Project Manager / Commercial Finance</t>
  </si>
  <si>
    <t>Historical Performance, Trend &amp; Seasonality Review</t>
  </si>
  <si>
    <t>Review historical revenue, utilisation, delivery performance, revenue trends and seasonal demand patterns across agency, service line, engagement type and geography to support baseline forecasting and identification of forecast variances</t>
  </si>
  <si>
    <t>Top-Down Forecast Adjustment Input</t>
  </si>
  <si>
    <t>Develop and refine divisional revenue forecast using weighted pipeline forecasts from CRM and active project forecasts from PSA within EPM. Align forecast inputs relating to delivery timing, probability, staffing, pass-through revenue and forecast inclusion rules</t>
  </si>
  <si>
    <t>Generate divisional revenue forecast within EPM using weighted pipeline forecasts from CRM and active project forecasts from PSA by agency, client, service line, geography and forecast period. Include renewals, approved scope changes, qualified work-at-risk engagements, pass-through revenue and other approved forecast adjustments where applicable</t>
  </si>
  <si>
    <t>Review forecasted discounts, rebates and threshold-based commercial arrangements within divisional forecast assumptions. Where parent-child structures exist for multi-division engagements, assess forecasted revenue across participating divisions to determine rebate or discount qualification thresholds and associated allocation impacts</t>
  </si>
  <si>
    <t>Review bottom-up divisional forecast submission prior to forecast cut-off. Submit any approved forecast adjustments and updates into EPM for divisional forecast review prior to cut-off</t>
  </si>
  <si>
    <t>Review bottom-up forecast submissions after cut-off and apply Finance-led review, challenge and top-down adjustments prior to forecast commitment and publication</t>
  </si>
  <si>
    <t>Review Finance-adjusted divisional forecast, obtain leadership commitment and finalise forecast publication for downstream planning, workforce management and business performance reporting</t>
  </si>
  <si>
    <t>Conduct divisional forecast commitment review led by Division Finance. Review Finance-adjusted forecast outputs, discuss required adjustments and obtain Managing Director commitment prior to forecast finalisation and publication. Commitment call should occur c.4 working days post-submission cutoff</t>
  </si>
  <si>
    <t>Determine whether MDs commit to the Finance-adjusted divisional forecast and associated forecast assumptions</t>
  </si>
  <si>
    <t>Finalise approved divisional forecast version within EPM and publish forecast outputs for downstream demand planning, workforce planning and business reporting purposes</t>
  </si>
  <si>
    <t>EPM / Fabric / CRM / PSA</t>
  </si>
  <si>
    <t>CRM / CLM / PSA / ERP / Contract Capture Agent</t>
  </si>
  <si>
    <t>Establish and govern customer, contractual, commercial and project setup requirements from initial opportunity creation through to project activation, billing readiness and operational delivery enablement</t>
  </si>
  <si>
    <t>Assess forecasted demand against available workforce capacity and utilisation levels to identify staffing requirements, optimise resource allocation and support delivery readiness across pipeline, active projects and committed engagements</t>
  </si>
  <si>
    <t>Compare forecasted demand against available workforce capacity to identify delivery shortfalls, surplus capacity and staffing gaps by role, skill, geography and forecast period</t>
  </si>
  <si>
    <t>Develop workforce actions to address identified staffing gaps including hiring, redeployment, subcontractor utilisation and resource reallocation. Optimise resource mix to support forecasted delivery requirements and utilisation targets</t>
  </si>
  <si>
    <t>PSA / Resource Management Tool / HRIS</t>
  </si>
  <si>
    <t>PSA / Resource Management Tool / HRIS / PowerBI</t>
  </si>
  <si>
    <t>Match available and planned resources to forecasted delivery demand and confirm resource assignments to support project delivery, utilisation targets and workforce planning requirements</t>
  </si>
  <si>
    <t>Match available resources to forecasted project and delivery requirements based on skills, availability, geography, utilisation targets and cost considerations. Ensure approved scope changes and updated project demand signals within PSA are reflected in proposed resource assignments</t>
  </si>
  <si>
    <t>Review and resolve resource allocation conflicts across competing projects, delivery priorities and staffing demands. Prioritise assignments based on strategic importance, contractual commitments, delivery risk and margin impact</t>
  </si>
  <si>
    <t>Confirm resource assignments and delivery commitments with project managers and capability leads. Update PSA with approved resource allocations and assignment changes</t>
  </si>
  <si>
    <t>Project Manager / Division Finance</t>
  </si>
  <si>
    <t>Client Services / Account Managers / Commercial Finance / Project Manager / Portfolio Leaders (MD)</t>
  </si>
  <si>
    <t>Develop, review and maintain weighted revenue forecasts, workforce demand signals and operational delivery assumptions to support capacity planning, staffing decisions, utilisation management and delivery planning across pipeline, active projects and committed engagements</t>
  </si>
  <si>
    <t>Develop, review and maintain weighted revenue forecasts using pipeline, contractual, project delivery and operational financial data to forward-looking revenue planning and workforce demand forecasting</t>
  </si>
  <si>
    <t>Review approved work-at-risk engagements operating within PSA prior to inclusion in active project forecast. Validate forecast assumptions, delivery timing, staffing assumptions, working budget assumptions, contractual status and expected execution timing to support forecast accuracy and operational planning</t>
  </si>
  <si>
    <t>Apply Finance-led top-down forecast adjustments and baseline demand assumptions including utilisation targets, demand uplift assumptions and identified forecast gaps where applicable</t>
  </si>
  <si>
    <t>Update ERP customer credit master data including approved credit status, formal credit limit, payment terms, risk rating, credit limits and hold indicators</t>
  </si>
  <si>
    <t>Credit Limit Assignment</t>
  </si>
  <si>
    <t>1.1.3.7</t>
  </si>
  <si>
    <t>1.1.3.8</t>
  </si>
  <si>
    <t>Establish formal customer credit limits for key accounts based on approved credit risk profile, forecasted exposure and available customer financial or credit information</t>
  </si>
  <si>
    <t>Periodic Credit Review Cycle Setup</t>
  </si>
  <si>
    <t>Establish periodic credit review requirements and ongoing monitoring controls for key accounts. Define review frequency and escalation thresholds based on customer credit risk profile, forecasted exposure and ongoing payment performance where applicable</t>
  </si>
  <si>
    <t>Automated (or GFS - Credit in absence of automation)</t>
  </si>
  <si>
    <t>1.1.1.8</t>
  </si>
  <si>
    <t>Pricing Governance Approval Required?</t>
  </si>
  <si>
    <t>Determine whether proposed pricing structure, discounting or commercial terms fall outside approved pricing guardrails or standard commercial thresholds. Where non-standard pricing or discounting applies, obtain approval through Pricing Council governance process prior to advancing opportunity</t>
  </si>
  <si>
    <t>Pricing Council</t>
  </si>
  <si>
    <t>1.3.12</t>
  </si>
  <si>
    <t>Project Activation Readiness Review</t>
  </si>
  <si>
    <t>Review project setup status and validate operational go/no-go activation requirements prior to project activation. Confirm required setup components including billing plan, billing triggers, project structure, PO alignment and contractual readiness are complete before activating project within PSA</t>
  </si>
  <si>
    <t>Capture and process project time entries to support accurate project costing, billing, utilisation tracking and revenue recognition processes</t>
  </si>
  <si>
    <t>Record time worked against approved project tasks, activities and billing categories (e.g., billable, non-billable, internal) using authorised project codes and chargeable work structures pre-assigned to the individual within PSA</t>
  </si>
  <si>
    <t>IT</t>
  </si>
  <si>
    <t>Automated (or Client Services / Account Managers in absence of automation)</t>
  </si>
  <si>
    <t>Determine whether submitted or posted timesheet entries require correction, reopening or resubmission due to incomplete, incorrect or miscoded time entries</t>
  </si>
  <si>
    <t>Reopen, correct and resubmit timesheet entries where changes are required</t>
  </si>
  <si>
    <t>Time Available for Billing &amp; Revenue Recognition</t>
  </si>
  <si>
    <t>Billable hours are made available to downstream billing and revenue recognition processes for the applicable billing and accounting period</t>
  </si>
  <si>
    <t>Post submitted timesheet actuals to ERP project cost ledger and synchronise billable hours to PSA and Billing Agent for downstream revenue recognition and invoicing processes</t>
  </si>
  <si>
    <t>Review submitted and posted timesheet data at summary level to identify missing time, miscoded entries, unusual utilisation patterns or project charging anomalies requiring follow-up or correction</t>
  </si>
  <si>
    <t>Trigger reminder notifications and reporting alerts for overdue or missing timesheets in accordance with timesheet submission policy. PowerBI dashboard is updated for missing timesheets and overdue submissions, and system access is restricted until timesheets are submitted</t>
  </si>
  <si>
    <t>Billable Time Validation</t>
  </si>
  <si>
    <t>Capture, review and process reimbursable project-related expenses to support accurate project costing, policy compliance, client recharge and downstream billing processes</t>
  </si>
  <si>
    <t>Record reimbursable project-related expenses with supporting documentation using authorised project codes and chargeable expense structures pre-assigned to the individual within the expense management system</t>
  </si>
  <si>
    <t>Expense Approval Decision</t>
  </si>
  <si>
    <t>Determine whether submitted reimbursable expense report is approved for posting and downstream billing processing</t>
  </si>
  <si>
    <t>3.2.5</t>
  </si>
  <si>
    <t>Expense Posting &amp; Update</t>
  </si>
  <si>
    <t>Post approved reimbursable expenses to ERP project cost ledger and update associated project financial records. Synchronise approved client-rechargeable expenses to PSA and Billing Agent for downstream billing processes</t>
  </si>
  <si>
    <t>Approved client-rechargeable expenses are made available to downstream billing processes for the applicable billing period where contractually permitted</t>
  </si>
  <si>
    <t>Expenses Available for Billing</t>
  </si>
  <si>
    <t>Capture, classify, allocate and post project-related costs not sourced from timesheets or reimbursable expense claims, including subcontractor costs, software/tooling charges, shared service allocations and other indirect project costs</t>
  </si>
  <si>
    <t>Identify and capture project-related costs from source systems or operational inputs including subcontractor invoices, software/tooling charges, internal allocations and shared service costs</t>
  </si>
  <si>
    <t>Validate project cost data for completeness, coding accuracy and allocation readiness prior to downstream allocation or posting</t>
  </si>
  <si>
    <t>Identify project-related costs from source systems or operational inputs including subcontractor invoices, software/tooling charges, vendor invoices, internal charges and shared service allocations. Record cost details and associated project references for downstream allocation and project financial processing</t>
  </si>
  <si>
    <t>Apply approved allocation methodologies to distribute shared and indirect project costs across projects, activities or cost objects in accordance with defined allocation rules and financial governance requirements</t>
  </si>
  <si>
    <t>Define approved allocation methodologies and allocation drivers including usage, headcount, revenue share, fixed split or other agreed allocation basis</t>
  </si>
  <si>
    <t>Calculate cost allocations across projects and cost objects based on approved allocation methodologies and defined allocation drivers</t>
  </si>
  <si>
    <t>Assign calculated cost allocations to the appropriate project, task, activity or cost object within ERP</t>
  </si>
  <si>
    <t>Review allocation outputs for completeness, allocation accuracy and alignment to approved allocation methodologies prior to posting</t>
  </si>
  <si>
    <t>Determine whether calculated cost allocations are approved in accordance with defined allocation methodologies and financial governance requirements</t>
  </si>
  <si>
    <t>Post approved and allocated project costs to ERP project financials and synchronise project cost updates to PSA for downstream project tracking, forecasting and revenue recognition processes</t>
  </si>
  <si>
    <t>Post approved allocated costs to ERP project financials and update project cost balances and associated project cost records</t>
  </si>
  <si>
    <t>Synchronise posted project costs from ERP to PSA for downstream project tracking, forecasting, utilisation analysis and project financial management</t>
  </si>
  <si>
    <t>Assign and validate project cost classifications including subcontractor, software/tooling, overhead, shared service and internal allocation categories</t>
  </si>
  <si>
    <t>Track project delivery progress against defined milestones, work packages and contractual deliverables within PSA. Update delivery status, percentage completion and forecast-to-complete assumptions based on latest project activity and delivery progress</t>
  </si>
  <si>
    <t>Calculate forecast-to-complete and remaining effort assumptions based on latest project delivery progress, milestone status, recognised costs and approved working budget assumptions</t>
  </si>
  <si>
    <t>Submit deliverables and supporting milestone documentation to customer for review and acceptance validation</t>
  </si>
  <si>
    <t>PSA / Client Portal / Email</t>
  </si>
  <si>
    <t>Determine whether customer acceptance has been formally received for milestone deliverables and associated contractual obligations</t>
  </si>
  <si>
    <t>Record customer acceptance status and supporting approval or sign-off evidence within PSA and associated contractual records</t>
  </si>
  <si>
    <t>Compile and maintain supporting milestone completion documentation including deliverables, sign-offs, acceptance records and contractual support evidence required for billing validation and audit purposes</t>
  </si>
  <si>
    <t>Determine whether milestone deliverables, contractual requirements and supporting evidence have been completed in accordance with agreed scope and acceptance criteria</t>
  </si>
  <si>
    <t>Update PSA project progress and milestone status to reflect approved milestone completion, accepted deliverables and latest delivery progress</t>
  </si>
  <si>
    <t>Automated (or Project Manager in absence of Automation)</t>
  </si>
  <si>
    <t xml:space="preserve">PSA / Billing Agent </t>
  </si>
  <si>
    <t>Determine whether approved milestone completion and associated deliverable acceptance satisfy contractual milestone billing trigger requirements</t>
  </si>
  <si>
    <t>Generate milestone billing event based on approved milestone completion and accepted deliverables in accordance with contractual billing requirements</t>
  </si>
  <si>
    <t>Milestone Available for Billing</t>
  </si>
  <si>
    <t>Approved milestone billing events are made available to downstream invoicing and revenue recognition processes for the applicable billing and accounting period</t>
  </si>
  <si>
    <t>Monitor project progress, delivery status and milestone completion to support project tracking, billing trigger execution and downstream revenue recognition calculations</t>
  </si>
  <si>
    <t>Update task, phase, milestone and project percentage-of-completion calculations within PSA based on latest delivery progress, approved working budget assumptions and recognised delivery effort to support downstream revenue recognition processing</t>
  </si>
  <si>
    <t>Validate milestone completion, contractual deliverables and supporting evidence to support milestone acceptance and milestone-based billing requirements</t>
  </si>
  <si>
    <t>Generate milestone-based billing trigger events following approved milestone completion and accepted deliverables to support downstream invoice generation and, where applicable, revenue recognition processes</t>
  </si>
  <si>
    <t>Capture, validate and process operational project delivery activities including time entry, reimbursable expenses, project cost allocations, delivery progress and milestone completion to support downstream project tracking, billing trigger execution and revenue recognition processing</t>
  </si>
  <si>
    <t>Validate and recognise revenue in accordance with approved revenue recognition methodologies, contractual terms and project delivery progress. Process accrued and deferred revenue adjustments, reconcile recognised revenue balances and support downstream financial reporting and compliance requirements</t>
  </si>
  <si>
    <t>Generate, validate, review and issue client invoices in accordance with contractual billing terms, approved billing triggers and revenue arrangements. Process recurring, milestone, pass-through, reimbursable and ad-hoc billing events and support downstream accounts receivable, revenue reconciliation and client billing operations</t>
  </si>
  <si>
    <t>Maintain accurate accounts receivable balances through cash application, unapplied cash resolution and AR reconciliation processes to support collections management, financial reporting and period-end close activities</t>
  </si>
  <si>
    <t>Generate and review AR aging information to identify overdue balances, high-risk receivables and collection priorities across customers, entities and aging categories</t>
  </si>
  <si>
    <t>Generate AR Aging Report</t>
  </si>
  <si>
    <t>Segment outstanding receivables based on aging category, customer risk profile, receivable value and collection priority to support collections management and escalation activities</t>
  </si>
  <si>
    <t>6.1.1.2</t>
  </si>
  <si>
    <t>ERP / PowerBI</t>
  </si>
  <si>
    <t>Match incoming customer payments to outstanding invoices using remittance advice, invoice reference, customer reference or other available payment identifiers</t>
  </si>
  <si>
    <t>Post Applied Cash</t>
  </si>
  <si>
    <t>AR Aging</t>
  </si>
  <si>
    <t>Generate AR aging report showing outstanding receivables by customer, legal entity, due date and days overdue</t>
  </si>
  <si>
    <t>Match and apply incoming customer payments against outstanding invoices and receivable balances</t>
  </si>
  <si>
    <t>Import daily bank statement and payment remittance data for cash application processing</t>
  </si>
  <si>
    <t>Apply full or partial customer payments against outstanding invoices and receivable balances</t>
  </si>
  <si>
    <t>Post matched and applied customer payments to AR subledger balances and update invoice status, outstanding balances and aging records</t>
  </si>
  <si>
    <t>ERP / Banking Interface</t>
  </si>
  <si>
    <t>Determine whether unmatched, partially applied or unresolved customer payments exist following cash application processing</t>
  </si>
  <si>
    <t>Investigate and resolve unapplied, partially applied or incorrectly allocated customer payments. Resolve discrepancies, disputes or allocation issues and update resolution outcomes</t>
  </si>
  <si>
    <t>Analyse unapplied or unmatched customer payments to determine root cause including short payment, overpayment, missing remittance detail, incorrect customer reference or payment allocation issues</t>
  </si>
  <si>
    <t>Engage customer AP contacts or internal stakeholders to obtain remittance clarification, payment allocation instructions or dispute details required to resolve unapplied cash items</t>
  </si>
  <si>
    <t>Process required resolution actions including payment reallocations, unapplied cash clearing or refund processing where applicable</t>
  </si>
  <si>
    <t>Record resolution outcome, supporting notes and updated transaction status</t>
  </si>
  <si>
    <t>Reconcile AR subledger balances to General Ledger control accounts and resolve reconciliation differences to support accurate financial reporting and period-end close activities</t>
  </si>
  <si>
    <t>Compare AR subledger balances to General Ledger control account balances and identify reconciliation differences requiring investigation</t>
  </si>
  <si>
    <t>Investigate and resolve reconciliation differences including timing differences, posting errors, unapplied cash items and foreign exchange adjustments</t>
  </si>
  <si>
    <t>Confirm AR balances are reconciled and approved for period-end close and downstream financial reporting</t>
  </si>
  <si>
    <t>Manage collections outreach, dispute resolution, escalation activities and payment commitment tracking for overdue or at-risk receivables to support timely cash collection and credit risk management</t>
  </si>
  <si>
    <t>Identify overdue receivables based on aging status, payment terms and customer risk profile to prioritise collections outreach and escalation activities</t>
  </si>
  <si>
    <t>Identify receivables exceeding payment terms and apply aging threshold rules to categorise overdue balances by severity and collection priority</t>
  </si>
  <si>
    <t>Prioritise overdue receivables for collections outreach based on receivable value, customer risk profile, aging status, dispute history and collection risk</t>
  </si>
  <si>
    <t>Execute collections outreach activities for overdue receivables including payment reminders, follow-up communications and customer escalation engagement</t>
  </si>
  <si>
    <t>Send system-generated payment reminders to customers based on defined overdue thresholds and collections rules</t>
  </si>
  <si>
    <t>Conduct collections follow-up activities with customer AP contacts through email or phone to obtain payment status, remittance details or escalation feedback</t>
  </si>
  <si>
    <t>Follow-Up Contact</t>
  </si>
  <si>
    <t>Record collections outreach activity, customer responses and follow-up outcomes for ongoing collections management and escalation tracking</t>
  </si>
  <si>
    <t>ERP / Collections Tool / Email / Phone</t>
  </si>
  <si>
    <t>Determine whether a billing dispute, payment discrepancy or customer query has been raised in relation to an outstanding receivable</t>
  </si>
  <si>
    <t>Investigate and resolve billing disputes, customer claims and invoice discrepancies to support timely collections resolution and accurate receivable balances</t>
  </si>
  <si>
    <t>Record dispute details including dispute type, disputed amount, reason code, supporting information and impacted invoices or receivables</t>
  </si>
  <si>
    <t>Investigate billing disputes with customer contacts and internal stakeholders including Client Services and Billing Operations. Review contractual terms, billing records, deliverables and supporting documentation where required</t>
  </si>
  <si>
    <t>Process dispute resolution actions including invoice correction, credit note issuance, payment reallocation or receivable adjustment where applicable</t>
  </si>
  <si>
    <t>Record dispute resolution outcome, update receivable status and resume standard collections activities where outstanding balances remain</t>
  </si>
  <si>
    <t>Escalate overdue or high-risk receivables internally and externally where required to support collections resolution and mitigate financial exposure</t>
  </si>
  <si>
    <t>Identify overdue receivables requiring escalation based on aging status, customer risk profile, dispute severity or payment commitment failure</t>
  </si>
  <si>
    <t>Execute escalation outreach activities with customer stakeholders to resolve outstanding receivables and secure payment commitments</t>
  </si>
  <si>
    <t>Record escalation outcomes, agreed next actions, payment expectations and follow-up timelines</t>
  </si>
  <si>
    <t>Record, monitor and manage customer payment commitments and expected payment dates to support collections planning and cash forecasting</t>
  </si>
  <si>
    <t>Capture customer payment commitments, expected payment dates and supporting collections notes for outstanding receivables</t>
  </si>
  <si>
    <t>Monitor adherence to agreed payment commitments and trigger re-escalation activities where commitments are missed or delayed</t>
  </si>
  <si>
    <t>Determine whether customer account should be placed on credit hold based on overdue receivables, escalation status, dispute severity or credit risk exposure</t>
  </si>
  <si>
    <t>Apply customer credit hold controls and communicate operational impacts to relevant internal stakeholders</t>
  </si>
  <si>
    <t>Apply customer credit hold controls and restrict new project activations, invoicing or order acceptance in accordance with approved credit management policies</t>
  </si>
  <si>
    <t>Notify internal stakeholders of customer credit hold status and associated impacts to active projects, pipeline opportunities and ongoing delivery activities</t>
  </si>
  <si>
    <t>Monitor customer payment resolution status and remove customer credit hold controls once approved release conditions have been satisfied</t>
  </si>
  <si>
    <t>Credit Platform</t>
  </si>
  <si>
    <t>ERP / Credit Plaftform</t>
  </si>
  <si>
    <t>6.2.4.1</t>
  </si>
  <si>
    <t>6.2.4.2</t>
  </si>
  <si>
    <t>6.2.4.3</t>
  </si>
  <si>
    <t>6.2.4.4</t>
  </si>
  <si>
    <t>Escalate overdue receivables to internal stakeholders responsible for customer relationship management, commercial oversight or delivery governance</t>
  </si>
  <si>
    <t>6.2.6.3</t>
  </si>
  <si>
    <t>6.2.6.4</t>
  </si>
  <si>
    <t>Forecast expected cash collections and short-term liquidity requirements using receivables data, customer payment behaviour, payment commitments and working capital assumptions to support treasury planning and cash flow management</t>
  </si>
  <si>
    <t>Refresh cash forecasting inputs using updated receivables balances, payment commitments, collections activity and working capital assumptions</t>
  </si>
  <si>
    <t>Refresh receivables balances, payment commitments, collections activity and expected cash inflows for cash forecasting updates</t>
  </si>
  <si>
    <t>Generate short-term direct cash forecast using receivables balances, expected collections, AP obligations and known cash movements</t>
  </si>
  <si>
    <t>Generate indirect cash flow forecast using revenue forecasts, working capital assumptions and projected balance sheet movements</t>
  </si>
  <si>
    <t>Compare actual cash collections and cash flow activity against forecast assumptions and identify material forecast variances requiring explanation or forecast adjustment</t>
  </si>
  <si>
    <t>Refresh actual cash receipt and collection activity data for cash forecast variance analysis</t>
  </si>
  <si>
    <t>Compare actual cash receipts to direct cash forecast and quantify collection variances by customer, aging profile and collection status</t>
  </si>
  <si>
    <t>Compare actual cash flow activity to indirect cash forecast assumptions and quantify variances across forecast drivers including revenue timing, DSO assumptions and working capital movements</t>
  </si>
  <si>
    <t>Investigate root cause of significant forecast-to-actual variances and document explanations, forecast impacts and remediation actions for management reporting</t>
  </si>
  <si>
    <t>ERP / Treasury Forecasting Tool</t>
  </si>
  <si>
    <t>Prepare and distribute cash forecasting and collections reporting outputs to support treasury oversight, working capital management and central finance reporting requirements</t>
  </si>
  <si>
    <t>Prepare and review weekly direct cash forecast reporting including forecast cash receipts, actual collections and customer aging analysis</t>
  </si>
  <si>
    <t>Prepare indirect cash flow forecast reporting including projected cash flow position, actuals and key forecast drivers</t>
  </si>
  <si>
    <t>Identify and report material collections risks, overdue receivable trends and cash flow concerns impacting forecast accuracy or liquidity expectations</t>
  </si>
  <si>
    <t>Submit approved cash forecasting and collections reporting outputs to central Finance and Treasury teams in accordance with reporting calendar and governance requirements</t>
  </si>
  <si>
    <t>Manage collections, cash application, receivables reconciliation, dispute resolution and cash forecasting activities to support timely cash collection, accurate receivable balances, credit risk management and short-term liquidity planning</t>
  </si>
  <si>
    <t>ERP / Treasury Forecasting Tool / Fabric</t>
  </si>
  <si>
    <t>Treasury Forecasting Tool / Fabric</t>
  </si>
  <si>
    <t>Treasury Forecasting Tool / PowerBI / Fabric</t>
  </si>
  <si>
    <t>ERP / AR Tool / Collections Tool / Credit Platform / Treasury Forecast Tool / PowerBI / Fabric</t>
  </si>
  <si>
    <t>Client Services / Account Managers / Commercial Finance</t>
  </si>
  <si>
    <t>Perform financial, contractual and operational project closure activities including reconciliation of project costs, revenues, deliverables and outstanding obligations to support formal project closeout and final reporting</t>
  </si>
  <si>
    <t>Reconcile project financials, confirm completion of revenue recognition and billing activities, resolve remaining accruals and deferrals, and validate final project financial position prior to project closure</t>
  </si>
  <si>
    <t>Confirm all billable amounts have been invoiced and associated billing transactions completed</t>
  </si>
  <si>
    <t>Reconcile recognised project revenue against total project costs to validate final project margin and financial outcome. Compare actual margin against approved budget and contractual assumptions and investigate material variances</t>
  </si>
  <si>
    <t>Confirm all project revenue, costs and associated financial postings have been recognised and processed. Confirm all agreed markups, management fees or pass-through billing treatment have been applied in accordance with contractual SOW terms</t>
  </si>
  <si>
    <t>Identify and resolve outstanding financial, operational or contractual items preventing project closure</t>
  </si>
  <si>
    <t>Identify outstanding time, expenses, project costs, subcontractor/vendor balances, open billing events, unapplied cash items or unresolved purchase order balances requiring resolution prior to project closure</t>
  </si>
  <si>
    <t>Resolve remaining financial, contractual or operational closure items including unresolved billing events, unapplied balances, vendor discrepancies, customer disputes or final project adjustments requiring closure treatment</t>
  </si>
  <si>
    <t>Outstanding Item Resolution</t>
  </si>
  <si>
    <t>Validate completion of contractual obligations, deliverables and closure requirements prior to formal project closure</t>
  </si>
  <si>
    <t>Review delivered scope against contractual obligations and confirm completion of deliverables, SLAs and customer commitments</t>
  </si>
  <si>
    <t>Validate there are no unresolved contractual amendments, change orders or scope adjustments requiring resolution prior to project closure</t>
  </si>
  <si>
    <t>ERP / PSA / Billing Agent</t>
  </si>
  <si>
    <t>Review remaining accrued revenue, deferred revenue and project cost accruals. Release, reverse or write off balances where appropriate in accordance with approved financial close procedures</t>
  </si>
  <si>
    <t>Contract Capture Agent / CLM / PSA</t>
  </si>
  <si>
    <t>Review final project completion status, financial outcomes and contractual closure requirements prior to formal project close approval</t>
  </si>
  <si>
    <t>Review project completion status, financial close results and outstanding closure requirements</t>
  </si>
  <si>
    <t>Approve formal project closure following completion of financial, operational and contractual close activities</t>
  </si>
  <si>
    <t>Update project closure status across operational and financial systems and complete downstream closure activities</t>
  </si>
  <si>
    <t>Update project status to closed and complete final operational closure processing within PSA</t>
  </si>
  <si>
    <t>Prevent additional timesheet submissions, expense claims and billing activity against closed projects in accordance with project closure controls</t>
  </si>
  <si>
    <t>PSA / Concur / Billing Agent</t>
  </si>
  <si>
    <t>Update financial closure status and associated accounting close indicators following project closure completion</t>
  </si>
  <si>
    <t>Notify relevant stakeholders of completed project closure and associated operational or financial impacts</t>
  </si>
  <si>
    <t>Archive project records, contracts, invoices and supporting documentation in accordance with document retention and contractual record management requirements</t>
  </si>
  <si>
    <t>PSA / CLM</t>
  </si>
  <si>
    <t>PSA / ERP / PowerBI</t>
  </si>
  <si>
    <t>Generate and review project performance metrics, financial insights and operational KPIs to support management reporting, portfolio oversight and decision-making</t>
  </si>
  <si>
    <t>Generate project-level financial and operational performance summaries including revenue, cost, margin, utilisation and forecast performance metrics</t>
  </si>
  <si>
    <t>Generate project profit and loss reporting including recognised revenue, direct project costs, indirect allocations and final project margin outcomes</t>
  </si>
  <si>
    <t>Generate Project P&amp;L</t>
  </si>
  <si>
    <t>Calculate project margin, utilisation performance, forecast accuracy and budget variance metrics to support operational and financial performance analysis</t>
  </si>
  <si>
    <t>Prepare, validate and distribute client reporting outputs in accordance with contractual reporting obligations and agreed customer reporting requirements</t>
  </si>
  <si>
    <t>Prepare project, operational and financial reporting outputs for customers in accordance with contractual reporting requirements and agreed reporting schedules</t>
  </si>
  <si>
    <t>Validate client reporting accuracy, completeness and contractual alignment prior to external release or customer distribution</t>
  </si>
  <si>
    <t>Distribute approved client reporting outputs through agreed customer communication or reporting channels and maintain reporting delivery records where applicable</t>
  </si>
  <si>
    <t>Perform financial, operational and contractual project closure activities, reconcile final project outcomes and generate internal and client reporting outputs to support project closeout, performance management and contractual reporting obligations</t>
  </si>
  <si>
    <t>ERP / PSA / Billing Agent / Contract Capture Agent / CLM / PowerBI</t>
  </si>
  <si>
    <t>PSA / ERP / Concur / Billing Agent / CLM</t>
  </si>
  <si>
    <t>AI Agent - Contract Capture (or Commercial Affairs in absence of Agent)</t>
  </si>
  <si>
    <t>AI Agent - Contract Capture (or Client Services / Account Managers in absence of Agent)</t>
  </si>
  <si>
    <t>7.2.1.3</t>
  </si>
  <si>
    <t>7.2.2</t>
  </si>
  <si>
    <t>7.2.2.1</t>
  </si>
  <si>
    <t>7.2.2.2</t>
  </si>
  <si>
    <t>7.2.2.3</t>
  </si>
  <si>
    <t>7.2.3</t>
  </si>
  <si>
    <t>7.2.3.1</t>
  </si>
  <si>
    <t>7.2.3.2</t>
  </si>
  <si>
    <t>7.2.4</t>
  </si>
  <si>
    <t>7.2.4.1</t>
  </si>
  <si>
    <t>7.2.4.2</t>
  </si>
  <si>
    <t>7.2.5</t>
  </si>
  <si>
    <t>7.2.5.1</t>
  </si>
  <si>
    <t>7.2.5.2</t>
  </si>
  <si>
    <t>7.2.5.3</t>
  </si>
  <si>
    <t>7.2.5.4</t>
  </si>
  <si>
    <t>7.2.5.5</t>
  </si>
  <si>
    <t>7.3.1.1</t>
  </si>
  <si>
    <t>7.3.1.2</t>
  </si>
  <si>
    <t>7.4.1</t>
  </si>
  <si>
    <t>7.4.2</t>
  </si>
  <si>
    <t>7.4.3</t>
  </si>
  <si>
    <t>Monitor inactive, stalled or low-activity projects to support periodic project re-validation, operational review and formal project closure governance</t>
  </si>
  <si>
    <t>Stale / Inactive Project Identification</t>
  </si>
  <si>
    <t>Identify inactive, stalled or low-activity projects through dashboard reporting and lifecycle monitoring to determine projects requiring operational review or closure assessment</t>
  </si>
  <si>
    <t>PSA / PowerBI</t>
  </si>
  <si>
    <t>Review inactive or stalled projects to determine whether project activity should resume, remain open or proceed to formal project closure. Escalate unresolved inactive projects for operational follow-up and closure governance where required</t>
  </si>
  <si>
    <t>Project Validation &amp; Closure Assessment</t>
  </si>
  <si>
    <t>Stale / Inactive Project Governance</t>
  </si>
  <si>
    <t>Communicate forecast timetable, submission deadlines, cut-off dates and forecast governance requirements to stakeholders ahead of each financial period. Issue automated reminders in advance of key submission deadlines and coordinate formal deviation analysis reviews with Managing Directors where forecast variances exceed defined thresholds</t>
  </si>
  <si>
    <t>Review divisional forecast outputs, pipeline weighting, delivery timing, staffing assumptions and forecast variances against historical performance and Finance expectations. Challenge forecast submissions, perform formal deviation analysis reviews where forecast variances exceed defined thresholds and identify required forecast adjustments prior to forecast commitment</t>
  </si>
  <si>
    <t>Assess current workforce capacity, availability, utilisation levels and planned resource commitments to establish available delivery capacity baseline across roles, skills and geographies. Perform skills-based capacity planning aligned to forecasted pipeline and delivery skill requirements</t>
  </si>
  <si>
    <t>Translate forecasted pipeline, active project demand and approved scope changes into resource demand signals for roles, skills, geography and delivery periods. Align supply planning horizons to revenue forecasting outputs through coordination of average bill rates, margin expectations, utilisation targets and forecasted delivery demand assumptions. Ensure project and scope updates within PSA are reflected in workforce planning inputs</t>
  </si>
  <si>
    <t>Generate and distribute supply-demand reporting, utilisation metrics and workforce planning insights to leadership teams. Monitor utilisation targets and capacity performance at individual, team and divisional level, and highlight staffing constraints, delivery risks and mitigation actions</t>
  </si>
  <si>
    <t>GFS - T&amp;E</t>
  </si>
  <si>
    <t>Review submitted reimbursable expense claims for policy compliance, supporting documentation, coding accuracy and approval requirements in line with standard expense audit, approval and policy controls</t>
  </si>
  <si>
    <t>Generate billing documents from Billing Agent / ERP based on agreed billing triggers, billing inputs and contract terms. Perform internal quality review prior to client submission</t>
  </si>
  <si>
    <t>Generate billing document for review, validation and client feedback prior to invoice generation</t>
  </si>
  <si>
    <t>3.2.6</t>
  </si>
  <si>
    <t>Procurement System</t>
  </si>
  <si>
    <t>Procurement System / Concur / ERP</t>
  </si>
  <si>
    <t>Direct Expense PO Requirement</t>
  </si>
  <si>
    <t>Determine whether reimbursable project expense requires an internally approved purchase order in accordance with procurement and payment policies. Where applicable, require payment requestor to raise and obtain approval for purchase order prior to expense submission and payment processing. Expenses requiring purchase order support may not proceed to payment without approved PO reference</t>
  </si>
  <si>
    <t>3.4.1.3</t>
  </si>
  <si>
    <t>Project Margin Threshold Review</t>
  </si>
  <si>
    <t>Monitor project working budget, forecast-to-complete assumptions and projected project margin throughout active delivery lifecycle. Where projected margin falls below approved threshold or materially deviates from approved commercial assumptions, obtain required approval from Divisional CFO and Managing Director prior to continuing delivery under revised margin profile</t>
  </si>
  <si>
    <t>Division CFO / Division President</t>
  </si>
  <si>
    <t>4.2.2.3</t>
  </si>
  <si>
    <t>Revenue Adjustment Materiality Threshold Review</t>
  </si>
  <si>
    <t>Determine whether proposed revenue adjustment or true-up exceeds approved materiality threshold (e.g. $1M). Where threshold is breached, obtain formal approval from GFS JE Approver prior to journal approval and posting</t>
  </si>
  <si>
    <t>5.1.6.15</t>
  </si>
  <si>
    <t>Determine whether proposed invoice amount exceeds approved materiality threshold (e.g. $1M). Where threshold is breached, obtain formal approval in accordance with delegated financial authority requirements prior to invoice release</t>
  </si>
  <si>
    <t>Invoice Materiality Threshold Review</t>
  </si>
  <si>
    <t>Define invoice timetable and invoice cut-off dates for each financial period
For T&amp;M billing arrangements, billing cut-off dates align to month-end close, with invoices issued during the subsequent billing period</t>
  </si>
  <si>
    <t>Client Query / Dispute Raised?</t>
  </si>
  <si>
    <t>Client Query / Dispute Resolution</t>
  </si>
  <si>
    <t>5.2.3.4</t>
  </si>
  <si>
    <t>Dispute Escalation</t>
  </si>
  <si>
    <t>Escalate unresolved customer disputes or billing queries requiring additional commercial, operational or financial review for resolution and follow-up</t>
  </si>
  <si>
    <t>Track invoice workflow, review, submission and dispute/query status across invoice preparation, ERP invoice generation and client submission lifecycle stages. Update and synchronise invoice status, dispute status and submission outcomes between ERP and Billing Agent to support operational tracking, collections follow-up and exception management</t>
  </si>
  <si>
    <t>Invoicing agent - balance billed to-date vs. PO / group of Pos
ERP to track invoice status</t>
  </si>
  <si>
    <r>
      <t xml:space="preserve">MSAs created on Teams drive </t>
    </r>
    <r>
      <rPr>
        <i/>
        <u/>
        <sz val="9"/>
        <color rgb="FF000000"/>
        <rFont val="Arial"/>
        <family val="2"/>
      </rPr>
      <t>(central team, not on teams)</t>
    </r>
    <r>
      <rPr>
        <sz val="9"/>
        <color rgb="FF000000"/>
        <rFont val="Arial"/>
        <family val="2"/>
      </rPr>
      <t xml:space="preserve"> s based on client briefs. Pricing negotiated via email </t>
    </r>
    <r>
      <rPr>
        <i/>
        <u/>
        <sz val="9"/>
        <color rgb="FF000000"/>
        <rFont val="Arial"/>
        <family val="2"/>
      </rPr>
      <t>(via platofrm or email)</t>
    </r>
    <r>
      <rPr>
        <sz val="9"/>
        <color rgb="FF000000"/>
        <rFont val="Arial"/>
        <family val="2"/>
      </rPr>
      <t xml:space="preserve">. HubSpot for new opportunities, Oracle for renewals. </t>
    </r>
    <r>
      <rPr>
        <i/>
        <sz val="9"/>
        <color rgb="FF000000"/>
        <rFont val="Arial"/>
        <family val="2"/>
      </rPr>
      <t>No CLM (</t>
    </r>
    <r>
      <rPr>
        <u/>
        <sz val="9"/>
        <color rgb="FF000000"/>
        <rFont val="Arial"/>
        <family val="2"/>
      </rPr>
      <t>HighQinizio wide)</t>
    </r>
    <r>
      <rPr>
        <sz val="9"/>
        <color rgb="FF000000"/>
        <rFont val="Arial"/>
        <family val="2"/>
      </rPr>
      <t>, no e-signature, no centralised contract repository.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</si>
</sst>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6" x14ac:knownFonts="1">
    <font>
      <sz val="11"/>
      <color theme="1"/>
      <name val="Calibri"/>
      <family val="2"/>
      <scheme val="minor"/>
    </font>
    <font>
      <b/>
      <sz val="9"/>
      <color rgb="FFFFFFFF"/>
      <name val="Arial"/>
      <family val="2"/>
    </font>
    <font>
      <b/>
      <sz val="8"/>
      <color rgb="FFFFFFFF"/>
      <name val="Arial"/>
      <family val="2"/>
    </font>
    <font>
      <b/>
      <sz val="8"/>
      <color rgb="FFC0392B"/>
      <name val="Arial"/>
      <family val="2"/>
    </font>
    <font>
      <b/>
      <sz val="8"/>
      <color rgb="FF1A7A4A"/>
      <name val="Arial"/>
      <family val="2"/>
    </font>
    <font>
      <b/>
      <sz val="8"/>
      <color rgb="FF3D1A6E"/>
      <name val="Arial"/>
      <family val="2"/>
    </font>
    <font>
      <b/>
      <sz val="9"/>
      <color rgb="FF4A0E8F"/>
      <name val="Arial"/>
      <family val="2"/>
    </font>
    <font>
      <b/>
      <sz val="9"/>
      <color rgb="FF000000"/>
      <name val="Arial"/>
      <family val="2"/>
    </font>
    <font>
      <sz val="9"/>
      <color rgb="FFC0392B"/>
      <name val="Arial"/>
      <family val="2"/>
    </font>
    <font>
      <sz val="9"/>
      <color rgb="FF1A7A4A"/>
      <name val="Arial"/>
      <family val="2"/>
    </font>
    <font>
      <sz val="9"/>
      <color rgb="FF2E75B6"/>
      <name val="Arial"/>
      <family val="2"/>
    </font>
    <font>
      <sz val="9"/>
      <color rgb="FF7B2FBE"/>
      <name val="Arial"/>
      <family val="2"/>
    </font>
    <font>
      <sz val="9"/>
      <color rgb="FF000000"/>
      <name val="Arial"/>
      <family val="2"/>
    </font>
    <font>
      <sz val="9"/>
      <color rgb="FF00897B"/>
      <name val="Arial"/>
      <family val="2"/>
    </font>
    <font>
      <sz val="9"/>
      <color rgb="FF1976D2"/>
      <name val="Arial"/>
      <family val="2"/>
    </font>
    <font>
      <sz val="9"/>
      <name val="Arial"/>
      <family val="2"/>
    </font>
    <font>
      <sz val="11"/>
      <color rgb="FFFF0000"/>
      <name val="Calibri"/>
      <family val="2"/>
      <scheme val="minor"/>
    </font>
    <font>
      <sz val="9"/>
      <color rgb="FF00897B"/>
      <name val="Arial"/>
      <family val="2"/>
    </font>
    <font>
      <sz val="9"/>
      <color rgb="FF000000"/>
      <name val="Arial"/>
      <family val="2"/>
    </font>
    <font>
      <sz val="9"/>
      <color rgb="FF7B2FBE"/>
      <name val="Arial"/>
      <family val="2"/>
    </font>
    <font>
      <sz val="9"/>
      <color rgb="FF1976D2"/>
      <name val="Arial"/>
      <family val="2"/>
    </font>
    <font>
      <sz val="8"/>
      <name val="Calibri"/>
      <family val="2"/>
      <scheme val="minor"/>
    </font>
    <font>
      <sz val="9"/>
      <name val="Arial"/>
      <family val="2"/>
    </font>
    <font>
      <b/>
      <sz val="9"/>
      <color rgb="FFFFFFFF"/>
      <name val="Arial"/>
      <family val="2"/>
    </font>
    <font>
      <sz val="9"/>
      <color rgb="FFC0392B"/>
      <name val="Arial"/>
      <family val="2"/>
    </font>
    <font>
      <sz val="9"/>
      <color rgb="FF1A7A4A"/>
      <name val="Arial"/>
      <family val="2"/>
    </font>
    <font>
      <sz val="11"/>
      <name val="Calibri"/>
      <family val="2"/>
      <scheme val="minor"/>
    </font>
    <font>
      <b/>
      <sz val="9"/>
      <color rgb="FF4A0E8F"/>
      <name val="Arial"/>
      <family val="2"/>
    </font>
    <font>
      <b/>
      <sz val="9"/>
      <color rgb="FF000000"/>
      <name val="Arial"/>
      <family val="2"/>
    </font>
    <font>
      <sz val="9"/>
      <color rgb="FFFF0000"/>
      <name val="Arial"/>
      <family val="2"/>
    </font>
    <font>
      <sz val="11"/>
      <color theme="1"/>
      <name val="Calibri"/>
      <family val="2"/>
      <charset val="1"/>
    </font>
    <font>
      <b/>
      <sz val="11"/>
      <color theme="1"/>
      <name val="Calibri"/>
      <family val="2"/>
      <scheme val="minor"/>
    </font>
    <font>
      <sz val="9"/>
      <color rgb="FF1565C0"/>
      <name val="Arial"/>
      <family val="2"/>
    </font>
    <font>
      <sz val="11"/>
      <color theme="0" tint="-0.499984740745262"/>
      <name val="Calibri"/>
      <family val="2"/>
      <scheme val="minor"/>
    </font>
    <font>
      <b/>
      <sz val="8"/>
      <color theme="0" tint="-0.499984740745262"/>
      <name val="Arial"/>
      <family val="2"/>
    </font>
    <font>
      <sz val="9"/>
      <color theme="0" tint="-0.499984740745262"/>
      <name val="Arial"/>
      <family val="2"/>
    </font>
    <font>
      <b/>
      <sz val="9"/>
      <color theme="0"/>
      <name val="Arial"/>
      <family val="2"/>
    </font>
    <font>
      <sz val="9"/>
      <color rgb="FFFF0000"/>
      <name val="Arial"/>
      <family val="2"/>
    </font>
    <font>
      <b/>
      <sz val="16"/>
      <color rgb="FF1F3864"/>
      <name val="Calibri Light"/>
      <family val="2"/>
    </font>
    <font>
      <i/>
      <sz val="10"/>
      <color rgb="FF555555"/>
      <name val="Calibri"/>
      <family val="2"/>
    </font>
    <font>
      <b/>
      <sz val="11"/>
      <color rgb="FFFFFFFF"/>
      <name val="Calibri"/>
      <family val="2"/>
    </font>
    <font>
      <b/>
      <sz val="11"/>
      <color rgb="FF1F3864"/>
      <name val="Calibri"/>
      <family val="2"/>
    </font>
    <font>
      <b/>
      <sz val="10"/>
      <color rgb="FF20202B"/>
      <name val="Calibri"/>
      <family val="2"/>
    </font>
    <font>
      <sz val="10"/>
      <color rgb="FF20202B"/>
      <name val="Calibri"/>
      <family val="2"/>
    </font>
    <font>
      <sz val="10"/>
      <color rgb="FFC00000"/>
      <name val="Calibri"/>
      <family val="2"/>
    </font>
    <font>
      <i/>
      <sz val="9"/>
      <color rgb="FF888888"/>
      <name val="Calibri"/>
      <family val="2"/>
    </font>
    <font>
      <b/>
      <sz val="9"/>
      <color theme="1"/>
      <name val="Arial"/>
      <family val="2"/>
    </font>
    <font>
      <sz val="9"/>
      <color rgb="FF1976D2"/>
      <name val="Arial"/>
      <family val="2"/>
    </font>
    <font>
      <sz val="11"/>
      <color rgb="FF000000"/>
      <name val="Calibri"/>
      <family val="2"/>
    </font>
    <font>
      <sz val="11"/>
      <color theme="5"/>
      <name val="Calibri"/>
      <family val="2"/>
      <scheme val="minor"/>
    </font>
    <font>
      <sz val="11"/>
      <color rgb="FF00B050"/>
      <name val="Calibri"/>
      <family val="2"/>
    </font>
    <font>
      <b/>
      <sz val="11"/>
      <color rgb="FF00B050"/>
      <name val="Calibri"/>
      <family val="2"/>
      <scheme val="minor"/>
    </font>
    <font>
      <b/>
      <sz val="11"/>
      <color theme="5"/>
      <name val="Calibri"/>
      <family val="2"/>
      <scheme val="minor"/>
    </font>
    <font>
      <sz val="11"/>
      <color rgb="FF00B050"/>
      <name val="Calibri"/>
      <family val="2"/>
      <scheme val="minor"/>
    </font>
    <font>
      <sz val="9"/>
      <color theme="0" tint="-0.499984740745262"/>
      <name val="Arial"/>
      <family val="2"/>
    </font>
    <font>
      <b/>
      <sz val="9"/>
      <color rgb="FFFFFFFF"/>
      <name val="Arial"/>
      <family val="2"/>
    </font>
    <font>
      <sz val="9"/>
      <color rgb="FF000000"/>
      <name val="Arial"/>
      <family val="2"/>
    </font>
    <font>
      <sz val="9"/>
      <color rgb="FFC0392B"/>
      <name val="Arial"/>
      <family val="2"/>
    </font>
    <font>
      <sz val="9"/>
      <color rgb="FF1A7A4A"/>
      <name val="Arial"/>
      <family val="2"/>
    </font>
    <font>
      <sz val="11"/>
      <color theme="9" tint="-0.249977111117893"/>
      <name val="Calibri"/>
      <family val="2"/>
      <scheme val="minor"/>
    </font>
    <font>
      <b/>
      <sz val="11"/>
      <color theme="9" tint="-0.249977111117893"/>
      <name val="Calibri"/>
      <family val="2"/>
      <scheme val="minor"/>
    </font>
    <font>
      <sz val="11"/>
      <color theme="9" tint="-0.249977111117893"/>
      <name val="Calibri"/>
      <family val="2"/>
    </font>
    <font>
      <b/>
      <sz val="11"/>
      <color theme="9" tint="-0.249977111117893"/>
      <name val="Calibri"/>
      <family val="2"/>
    </font>
    <font>
      <b/>
      <sz val="11"/>
      <color rgb="FFFF0000"/>
      <name val="Calibri"/>
      <family val="2"/>
      <scheme val="minor"/>
    </font>
    <font>
      <i/>
      <sz val="11"/>
      <color rgb="FFFF0000"/>
      <name val="Calibri"/>
      <family val="2"/>
      <scheme val="minor"/>
    </font>
    <font>
      <sz val="11"/>
      <color rgb="FF000000"/>
      <name val="Calibri"/>
      <family val="2"/>
      <scheme val="minor"/>
    </font>
    <font>
      <b/>
      <sz val="11"/>
      <color rgb="FF000000"/>
      <name val="Calibri"/>
      <scheme val="minor"/>
    </font>
    <font>
      <sz val="11"/>
      <color rgb="FF000000"/>
      <name val="Calibri"/>
      <scheme val="minor"/>
    </font>
    <font>
      <b/>
      <sz val="9"/>
      <name val="Arial"/>
      <family val="2"/>
    </font>
    <font>
      <b/>
      <sz val="11"/>
      <color rgb="FF00B050"/>
      <name val="Calibri"/>
      <family val="2"/>
    </font>
    <font>
      <sz val="9"/>
      <color theme="1"/>
      <name val="Arial"/>
      <family val="2"/>
    </font>
    <font>
      <b/>
      <sz val="11"/>
      <color theme="0"/>
      <name val="Calibri"/>
      <family val="2"/>
      <scheme val="minor"/>
    </font>
    <font>
      <i/>
      <sz val="11"/>
      <color theme="1"/>
      <name val="Calibri"/>
      <family val="2"/>
      <scheme val="minor"/>
    </font>
    <font>
      <strike/>
      <sz val="11"/>
      <color theme="1"/>
      <name val="Calibri"/>
      <family val="2"/>
      <scheme val="minor"/>
    </font>
    <font>
      <b/>
      <sz val="9"/>
      <color rgb="FFFFFFFF"/>
      <name val="Arial"/>
    </font>
    <font>
      <sz val="9"/>
      <color rgb="FF1976D2"/>
      <name val="Arial"/>
    </font>
    <font>
      <sz val="9"/>
      <color rgb="FF000000"/>
      <name val="Arial"/>
    </font>
    <font>
      <sz val="9"/>
      <color rgb="FF00897B"/>
      <name val="Arial"/>
    </font>
    <font>
      <sz val="9"/>
      <color rgb="FF1A7A4A"/>
      <name val="Arial"/>
    </font>
    <font>
      <sz val="11"/>
      <color rgb="FFC0504D"/>
      <name val="Calibri"/>
      <family val="2"/>
      <scheme val="minor"/>
    </font>
    <font>
      <sz val="9"/>
      <color theme="0" tint="-0.499984740745262"/>
      <name val="Arial"/>
    </font>
    <font>
      <sz val="9"/>
      <color rgb="FF7B2FBE"/>
      <name val="Arial"/>
    </font>
    <font>
      <sz val="9"/>
      <color rgb="FFC0392B"/>
      <name val="Arial"/>
    </font>
    <font>
      <i/>
      <u/>
      <sz val="9"/>
      <color rgb="FF000000"/>
      <name val="Arial"/>
      <family val="2"/>
    </font>
    <font>
      <i/>
      <sz val="9"/>
      <color rgb="FF000000"/>
      <name val="Arial"/>
      <family val="2"/>
    </font>
    <font>
      <u/>
      <sz val="9"/>
      <color rgb="FF000000"/>
      <name val="Arial"/>
      <family val="2"/>
    </font>
  </fonts>
  <fills count="28">
    <fill>
      <patternFill patternType="none"/>
    </fill>
    <fill>
      <patternFill patternType="gray125"/>
    </fill>
    <fill>
      <patternFill patternType="solid">
        <fgColor rgb="FF3D1A6E"/>
      </patternFill>
    </fill>
    <fill>
      <patternFill patternType="solid">
        <fgColor rgb="FFC0392B"/>
      </patternFill>
    </fill>
    <fill>
      <patternFill patternType="solid">
        <fgColor rgb="FF1A7A4A"/>
      </patternFill>
    </fill>
    <fill>
      <patternFill patternType="solid">
        <fgColor rgb="FF2E75B6"/>
      </patternFill>
    </fill>
    <fill>
      <patternFill patternType="solid">
        <fgColor rgb="FFFCE4D6"/>
      </patternFill>
    </fill>
    <fill>
      <patternFill patternType="solid">
        <fgColor rgb="FFE2EFDA"/>
      </patternFill>
    </fill>
    <fill>
      <patternFill patternType="solid">
        <fgColor rgb="FFD6E4F0"/>
      </patternFill>
    </fill>
    <fill>
      <patternFill patternType="solid">
        <fgColor rgb="FFFFF2CC"/>
      </patternFill>
    </fill>
    <fill>
      <patternFill patternType="solid">
        <fgColor rgb="FF4A0E8F"/>
      </patternFill>
    </fill>
    <fill>
      <patternFill patternType="solid">
        <fgColor rgb="FFEDE0FF"/>
      </patternFill>
    </fill>
    <fill>
      <patternFill patternType="solid">
        <fgColor rgb="FF7B2FBE"/>
      </patternFill>
    </fill>
    <fill>
      <patternFill patternType="solid">
        <fgColor rgb="FFF5EEFF"/>
      </patternFill>
    </fill>
    <fill>
      <patternFill patternType="solid">
        <fgColor rgb="FF00897B"/>
      </patternFill>
    </fill>
    <fill>
      <patternFill patternType="solid">
        <fgColor rgb="FFE0F5F2"/>
      </patternFill>
    </fill>
    <fill>
      <patternFill patternType="solid">
        <fgColor rgb="FF1976D2"/>
      </patternFill>
    </fill>
    <fill>
      <patternFill patternType="solid">
        <fgColor rgb="FFE8F4FD"/>
      </patternFill>
    </fill>
    <fill>
      <patternFill patternType="solid">
        <fgColor rgb="FFFFFF00"/>
        <bgColor indexed="64"/>
      </patternFill>
    </fill>
    <fill>
      <patternFill patternType="solid">
        <fgColor rgb="FFE2EFDA"/>
        <bgColor indexed="64"/>
      </patternFill>
    </fill>
    <fill>
      <patternFill patternType="solid">
        <fgColor theme="1" tint="0.499984740745262"/>
        <bgColor indexed="64"/>
      </patternFill>
    </fill>
    <fill>
      <patternFill patternType="solid">
        <fgColor theme="0" tint="-0.499984740745262"/>
        <bgColor indexed="64"/>
      </patternFill>
    </fill>
    <fill>
      <patternFill patternType="solid">
        <fgColor theme="0" tint="-4.9989318521683403E-2"/>
        <bgColor indexed="64"/>
      </patternFill>
    </fill>
    <fill>
      <patternFill patternType="solid">
        <fgColor rgb="FFF2F6FC"/>
      </patternFill>
    </fill>
    <fill>
      <patternFill patternType="solid">
        <fgColor rgb="FFF2F2F2"/>
        <bgColor rgb="FF000000"/>
      </patternFill>
    </fill>
    <fill>
      <patternFill patternType="solid">
        <fgColor theme="0" tint="-4.9989318521683403E-2"/>
        <bgColor rgb="FF000000"/>
      </patternFill>
    </fill>
    <fill>
      <patternFill patternType="solid">
        <fgColor theme="1"/>
        <bgColor indexed="64"/>
      </patternFill>
    </fill>
    <fill>
      <patternFill patternType="solid">
        <fgColor theme="0" tint="-0.14999847407452621"/>
        <bgColor indexed="64"/>
      </patternFill>
    </fill>
  </fills>
  <borders count="9">
    <border>
      <left/>
      <right/>
      <top/>
      <bottom/>
      <diagonal/>
    </border>
    <border>
      <left style="thin">
        <color rgb="FFBFBFBF"/>
      </left>
      <right style="thin">
        <color rgb="FFBFBFBF"/>
      </right>
      <top style="thin">
        <color rgb="FFBFBFBF"/>
      </top>
      <bottom style="thin">
        <color rgb="FFBFBFBF"/>
      </bottom>
      <diagonal/>
    </border>
    <border>
      <left/>
      <right/>
      <top/>
      <bottom style="thin">
        <color rgb="FF1F3864"/>
      </bottom>
      <diagonal/>
    </border>
    <border>
      <left style="thin">
        <color rgb="FFD0D0D0"/>
      </left>
      <right style="thin">
        <color rgb="FFD0D0D0"/>
      </right>
      <top style="thin">
        <color rgb="FFD0D0D0"/>
      </top>
      <bottom style="thin">
        <color rgb="FFD0D0D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BFBFBF"/>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30" fillId="0" borderId="0"/>
  </cellStyleXfs>
  <cellXfs count="162">
    <xf numFmtId="0" fontId="0" fillId="0" borderId="0" xfId="0"/>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3" fillId="6" borderId="1" xfId="0" applyFont="1" applyFill="1" applyBorder="1" applyAlignment="1">
      <alignment horizontal="center" vertical="center" wrapText="1"/>
    </xf>
    <xf numFmtId="0" fontId="1" fillId="10" borderId="1" xfId="0" applyFont="1" applyFill="1" applyBorder="1" applyAlignment="1">
      <alignment horizontal="center" vertical="center" wrapText="1"/>
    </xf>
    <xf numFmtId="0" fontId="6" fillId="11" borderId="1" xfId="0" applyFont="1" applyFill="1" applyBorder="1" applyAlignment="1">
      <alignment horizontal="center" vertical="center" wrapText="1"/>
    </xf>
    <xf numFmtId="0" fontId="6" fillId="11" borderId="1" xfId="0" applyFont="1" applyFill="1" applyBorder="1" applyAlignment="1">
      <alignment horizontal="left" vertical="center" wrapText="1"/>
    </xf>
    <xf numFmtId="0" fontId="7" fillId="11" borderId="1" xfId="0" applyFont="1" applyFill="1" applyBorder="1" applyAlignment="1">
      <alignment horizontal="left" vertical="center" wrapText="1"/>
    </xf>
    <xf numFmtId="0" fontId="8" fillId="6" borderId="1" xfId="0" applyFont="1" applyFill="1" applyBorder="1" applyAlignment="1">
      <alignment horizontal="left" vertical="center" wrapText="1"/>
    </xf>
    <xf numFmtId="0" fontId="9" fillId="7" borderId="1" xfId="0" applyFont="1" applyFill="1" applyBorder="1" applyAlignment="1">
      <alignment horizontal="left" vertical="center" wrapText="1"/>
    </xf>
    <xf numFmtId="0" fontId="1" fillId="12" borderId="1" xfId="0" applyFont="1" applyFill="1" applyBorder="1" applyAlignment="1">
      <alignment horizontal="center" vertical="center" wrapText="1"/>
    </xf>
    <xf numFmtId="0" fontId="11" fillId="13" borderId="1" xfId="0" applyFont="1" applyFill="1" applyBorder="1" applyAlignment="1">
      <alignment horizontal="center" vertical="center" wrapText="1"/>
    </xf>
    <xf numFmtId="0" fontId="11" fillId="13" borderId="1" xfId="0" applyFont="1" applyFill="1" applyBorder="1" applyAlignment="1">
      <alignment horizontal="left" vertical="center" wrapText="1"/>
    </xf>
    <xf numFmtId="0" fontId="12" fillId="13" borderId="1" xfId="0" applyFont="1" applyFill="1" applyBorder="1" applyAlignment="1">
      <alignment horizontal="left" vertical="center" wrapText="1"/>
    </xf>
    <xf numFmtId="0" fontId="1" fillId="14" borderId="1" xfId="0" applyFont="1" applyFill="1" applyBorder="1" applyAlignment="1">
      <alignment horizontal="center" vertical="center" wrapText="1"/>
    </xf>
    <xf numFmtId="0" fontId="13" fillId="15" borderId="1" xfId="0" applyFont="1" applyFill="1" applyBorder="1" applyAlignment="1">
      <alignment horizontal="center" vertical="center" wrapText="1"/>
    </xf>
    <xf numFmtId="0" fontId="13" fillId="15" borderId="1" xfId="0" applyFont="1" applyFill="1" applyBorder="1" applyAlignment="1">
      <alignment horizontal="left" vertical="center" wrapText="1"/>
    </xf>
    <xf numFmtId="0" fontId="12" fillId="15" borderId="1" xfId="0" applyFont="1" applyFill="1" applyBorder="1" applyAlignment="1">
      <alignment horizontal="left" vertical="center" wrapText="1"/>
    </xf>
    <xf numFmtId="0" fontId="1" fillId="16" borderId="1" xfId="0" applyFont="1" applyFill="1" applyBorder="1" applyAlignment="1">
      <alignment horizontal="center" vertical="center" wrapText="1"/>
    </xf>
    <xf numFmtId="0" fontId="14" fillId="17" borderId="1" xfId="0" applyFont="1" applyFill="1" applyBorder="1" applyAlignment="1">
      <alignment horizontal="center" vertical="center" wrapText="1"/>
    </xf>
    <xf numFmtId="0" fontId="14" fillId="17" borderId="1" xfId="0" applyFont="1" applyFill="1" applyBorder="1" applyAlignment="1">
      <alignment horizontal="left" vertical="center" wrapText="1"/>
    </xf>
    <xf numFmtId="0" fontId="12" fillId="17" borderId="1" xfId="0" applyFont="1" applyFill="1" applyBorder="1" applyAlignment="1">
      <alignment horizontal="left" vertical="center" wrapText="1"/>
    </xf>
    <xf numFmtId="0" fontId="17" fillId="15" borderId="1" xfId="0" applyFont="1" applyFill="1" applyBorder="1" applyAlignment="1">
      <alignment horizontal="center" vertical="center" wrapText="1"/>
    </xf>
    <xf numFmtId="0" fontId="17" fillId="15" borderId="1" xfId="0" applyFont="1" applyFill="1" applyBorder="1" applyAlignment="1">
      <alignment horizontal="left" vertical="center" wrapText="1"/>
    </xf>
    <xf numFmtId="0" fontId="18" fillId="15" borderId="1" xfId="0" applyFont="1" applyFill="1" applyBorder="1" applyAlignment="1">
      <alignment horizontal="left" vertical="center" wrapText="1"/>
    </xf>
    <xf numFmtId="0" fontId="19" fillId="13" borderId="1" xfId="0" applyFont="1" applyFill="1" applyBorder="1" applyAlignment="1">
      <alignment horizontal="left" vertical="center" wrapText="1"/>
    </xf>
    <xf numFmtId="0" fontId="20" fillId="17" borderId="1" xfId="0" applyFont="1" applyFill="1" applyBorder="1" applyAlignment="1">
      <alignment horizontal="left" vertical="center" wrapText="1"/>
    </xf>
    <xf numFmtId="0" fontId="18" fillId="17" borderId="1" xfId="0" applyFont="1" applyFill="1" applyBorder="1" applyAlignment="1">
      <alignment horizontal="left" vertical="center" wrapText="1"/>
    </xf>
    <xf numFmtId="0" fontId="20" fillId="17" borderId="1" xfId="0" applyFont="1" applyFill="1" applyBorder="1" applyAlignment="1">
      <alignment horizontal="center" vertical="center" wrapText="1"/>
    </xf>
    <xf numFmtId="0" fontId="22" fillId="15" borderId="1" xfId="0" applyFont="1" applyFill="1" applyBorder="1" applyAlignment="1">
      <alignment horizontal="left" vertical="center" wrapText="1"/>
    </xf>
    <xf numFmtId="0" fontId="24" fillId="6" borderId="1" xfId="0" applyFont="1" applyFill="1" applyBorder="1" applyAlignment="1">
      <alignment horizontal="left" vertical="center" wrapText="1"/>
    </xf>
    <xf numFmtId="0" fontId="25" fillId="7" borderId="1" xfId="0" applyFont="1" applyFill="1" applyBorder="1" applyAlignment="1">
      <alignment horizontal="left" vertical="center" wrapText="1"/>
    </xf>
    <xf numFmtId="0" fontId="26" fillId="0" borderId="0" xfId="0" applyFont="1"/>
    <xf numFmtId="0" fontId="18" fillId="13" borderId="1" xfId="0" applyFont="1" applyFill="1" applyBorder="1" applyAlignment="1">
      <alignment horizontal="left" vertical="center" wrapText="1"/>
    </xf>
    <xf numFmtId="0" fontId="4" fillId="19" borderId="1" xfId="0" applyFont="1" applyFill="1" applyBorder="1" applyAlignment="1">
      <alignment horizontal="center" vertical="center" wrapText="1"/>
    </xf>
    <xf numFmtId="0" fontId="23" fillId="10" borderId="1" xfId="0" applyFont="1" applyFill="1" applyBorder="1" applyAlignment="1">
      <alignment horizontal="center" vertical="center" wrapText="1"/>
    </xf>
    <xf numFmtId="0" fontId="27" fillId="11" borderId="1" xfId="0" applyFont="1" applyFill="1" applyBorder="1" applyAlignment="1">
      <alignment horizontal="center" vertical="center" wrapText="1"/>
    </xf>
    <xf numFmtId="0" fontId="27" fillId="11" borderId="1" xfId="0" applyFont="1" applyFill="1" applyBorder="1" applyAlignment="1">
      <alignment horizontal="left" vertical="center" wrapText="1"/>
    </xf>
    <xf numFmtId="0" fontId="28" fillId="11" borderId="1" xfId="0" applyFont="1" applyFill="1" applyBorder="1" applyAlignment="1">
      <alignment horizontal="left" vertical="center" wrapText="1"/>
    </xf>
    <xf numFmtId="0" fontId="23" fillId="12" borderId="1" xfId="0" applyFont="1" applyFill="1" applyBorder="1" applyAlignment="1">
      <alignment horizontal="center" vertical="center" wrapText="1"/>
    </xf>
    <xf numFmtId="0" fontId="19" fillId="13" borderId="1" xfId="0" applyFont="1" applyFill="1" applyBorder="1" applyAlignment="1">
      <alignment horizontal="center" vertical="center" wrapText="1"/>
    </xf>
    <xf numFmtId="0" fontId="23" fillId="14" borderId="1" xfId="0" applyFont="1" applyFill="1" applyBorder="1" applyAlignment="1">
      <alignment horizontal="center" vertical="center" wrapText="1"/>
    </xf>
    <xf numFmtId="0" fontId="31" fillId="0" borderId="0" xfId="0" applyFont="1"/>
    <xf numFmtId="0" fontId="32" fillId="17" borderId="1" xfId="0" applyFont="1" applyFill="1" applyBorder="1" applyAlignment="1">
      <alignment horizontal="left" vertical="center" wrapText="1"/>
    </xf>
    <xf numFmtId="0" fontId="0" fillId="0" borderId="0" xfId="0" applyAlignment="1">
      <alignment horizontal="center"/>
    </xf>
    <xf numFmtId="0" fontId="7" fillId="11" borderId="1" xfId="0" applyFont="1" applyFill="1" applyBorder="1" applyAlignment="1">
      <alignment horizontal="center" vertical="center" wrapText="1"/>
    </xf>
    <xf numFmtId="0" fontId="12" fillId="13" borderId="1" xfId="0" applyFont="1" applyFill="1" applyBorder="1" applyAlignment="1">
      <alignment horizontal="center" vertical="center" wrapText="1"/>
    </xf>
    <xf numFmtId="0" fontId="12" fillId="15" borderId="1" xfId="0" applyFont="1" applyFill="1" applyBorder="1" applyAlignment="1">
      <alignment horizontal="center" vertical="center" wrapText="1"/>
    </xf>
    <xf numFmtId="0" fontId="12" fillId="17" borderId="1" xfId="0" applyFont="1" applyFill="1" applyBorder="1" applyAlignment="1">
      <alignment horizontal="center" vertical="center" wrapText="1"/>
    </xf>
    <xf numFmtId="0" fontId="18" fillId="15" borderId="1" xfId="0" applyFont="1" applyFill="1" applyBorder="1" applyAlignment="1">
      <alignment horizontal="center" vertical="center" wrapText="1"/>
    </xf>
    <xf numFmtId="0" fontId="15" fillId="15" borderId="1" xfId="0" applyFont="1" applyFill="1" applyBorder="1" applyAlignment="1">
      <alignment horizontal="left" vertical="center" wrapText="1"/>
    </xf>
    <xf numFmtId="0" fontId="0" fillId="0" borderId="0" xfId="0" applyAlignment="1">
      <alignment horizontal="center" wrapText="1"/>
    </xf>
    <xf numFmtId="0" fontId="15" fillId="17" borderId="1" xfId="0" applyFont="1" applyFill="1" applyBorder="1" applyAlignment="1">
      <alignment horizontal="left" vertical="center" wrapText="1"/>
    </xf>
    <xf numFmtId="0" fontId="1" fillId="20" borderId="1" xfId="0" applyFont="1" applyFill="1" applyBorder="1" applyAlignment="1">
      <alignment horizontal="center" vertical="center" wrapText="1"/>
    </xf>
    <xf numFmtId="0" fontId="0" fillId="22" borderId="0" xfId="0" applyFill="1" applyAlignment="1">
      <alignment horizontal="center" wrapText="1"/>
    </xf>
    <xf numFmtId="0" fontId="33" fillId="0" borderId="0" xfId="0" applyFont="1"/>
    <xf numFmtId="0" fontId="34" fillId="22" borderId="1" xfId="0" applyFont="1" applyFill="1" applyBorder="1" applyAlignment="1">
      <alignment horizontal="center" vertical="center" wrapText="1"/>
    </xf>
    <xf numFmtId="0" fontId="35" fillId="22" borderId="1" xfId="0" applyFont="1" applyFill="1" applyBorder="1" applyAlignment="1">
      <alignment horizontal="left" vertical="center" wrapText="1"/>
    </xf>
    <xf numFmtId="0" fontId="10" fillId="17" borderId="1" xfId="0" applyFont="1" applyFill="1" applyBorder="1" applyAlignment="1">
      <alignment horizontal="left" vertical="center" wrapText="1"/>
    </xf>
    <xf numFmtId="0" fontId="36" fillId="21" borderId="1" xfId="0" applyFont="1" applyFill="1" applyBorder="1" applyAlignment="1">
      <alignment horizontal="center" vertical="center" wrapText="1"/>
    </xf>
    <xf numFmtId="0" fontId="31" fillId="0" borderId="0" xfId="0" applyFont="1" applyAlignment="1">
      <alignment horizontal="left"/>
    </xf>
    <xf numFmtId="0" fontId="38" fillId="0" borderId="0" xfId="0" applyFont="1" applyAlignment="1">
      <alignment vertical="center"/>
    </xf>
    <xf numFmtId="0" fontId="40" fillId="5" borderId="2" xfId="0" applyFont="1" applyFill="1" applyBorder="1" applyAlignment="1">
      <alignment horizontal="center" vertical="center" wrapText="1"/>
    </xf>
    <xf numFmtId="0" fontId="41" fillId="8" borderId="3" xfId="0" applyFont="1" applyFill="1" applyBorder="1" applyAlignment="1">
      <alignment vertical="top" wrapText="1"/>
    </xf>
    <xf numFmtId="0" fontId="42" fillId="23" borderId="3" xfId="0" applyFont="1" applyFill="1" applyBorder="1" applyAlignment="1">
      <alignment vertical="top" wrapText="1"/>
    </xf>
    <xf numFmtId="0" fontId="43" fillId="23" borderId="3" xfId="0" applyFont="1" applyFill="1" applyBorder="1" applyAlignment="1">
      <alignment vertical="top" wrapText="1"/>
    </xf>
    <xf numFmtId="0" fontId="43" fillId="9" borderId="3" xfId="0" applyFont="1" applyFill="1" applyBorder="1" applyAlignment="1">
      <alignment vertical="top" wrapText="1"/>
    </xf>
    <xf numFmtId="0" fontId="44" fillId="0" borderId="3" xfId="0" applyFont="1" applyBorder="1" applyAlignment="1">
      <alignment vertical="top" wrapText="1"/>
    </xf>
    <xf numFmtId="0" fontId="0" fillId="8" borderId="3" xfId="0" applyFill="1" applyBorder="1"/>
    <xf numFmtId="0" fontId="42" fillId="0" borderId="3" xfId="0" applyFont="1" applyBorder="1" applyAlignment="1">
      <alignment vertical="top" wrapText="1"/>
    </xf>
    <xf numFmtId="0" fontId="43" fillId="0" borderId="3" xfId="0" applyFont="1" applyBorder="1" applyAlignment="1">
      <alignment vertical="top" wrapText="1"/>
    </xf>
    <xf numFmtId="0" fontId="46" fillId="18" borderId="1" xfId="0" applyFont="1" applyFill="1" applyBorder="1" applyAlignment="1">
      <alignment horizontal="center" vertical="center" wrapText="1"/>
    </xf>
    <xf numFmtId="0" fontId="1" fillId="0" borderId="1" xfId="0" applyFont="1" applyBorder="1" applyAlignment="1">
      <alignment horizontal="center" vertical="center" wrapText="1"/>
    </xf>
    <xf numFmtId="0" fontId="5" fillId="0" borderId="0" xfId="0" applyFont="1" applyAlignment="1">
      <alignment horizontal="center" vertical="center" wrapText="1"/>
    </xf>
    <xf numFmtId="0" fontId="7" fillId="0" borderId="0" xfId="0" applyFont="1" applyAlignment="1">
      <alignment horizontal="left" vertical="center" wrapText="1"/>
    </xf>
    <xf numFmtId="0" fontId="12" fillId="0" borderId="0" xfId="0" applyFont="1" applyAlignment="1">
      <alignment horizontal="left" vertical="center" wrapText="1"/>
    </xf>
    <xf numFmtId="0" fontId="29" fillId="0" borderId="0" xfId="0" applyFont="1" applyAlignment="1">
      <alignment horizontal="left" vertical="center" wrapText="1"/>
    </xf>
    <xf numFmtId="0" fontId="37" fillId="0" borderId="0" xfId="0" applyFont="1" applyAlignment="1">
      <alignment horizontal="left" vertical="center" wrapText="1"/>
    </xf>
    <xf numFmtId="0" fontId="28" fillId="0" borderId="0" xfId="0" applyFont="1" applyAlignment="1">
      <alignment horizontal="left" vertical="center" wrapText="1"/>
    </xf>
    <xf numFmtId="0" fontId="18" fillId="0" borderId="0" xfId="0" applyFont="1" applyAlignment="1">
      <alignment horizontal="left" vertical="center" wrapText="1"/>
    </xf>
    <xf numFmtId="0" fontId="47" fillId="17" borderId="1" xfId="0" applyFont="1" applyFill="1" applyBorder="1" applyAlignment="1">
      <alignment horizontal="left" vertical="center" wrapText="1"/>
    </xf>
    <xf numFmtId="0" fontId="0" fillId="22" borderId="0" xfId="0" applyFill="1" applyAlignment="1">
      <alignment horizontal="center" vertical="center" wrapText="1"/>
    </xf>
    <xf numFmtId="0" fontId="0" fillId="22" borderId="0" xfId="0" applyFill="1" applyAlignment="1">
      <alignment vertical="center" wrapText="1"/>
    </xf>
    <xf numFmtId="0" fontId="50" fillId="24" borderId="0" xfId="0" applyFont="1" applyFill="1" applyAlignment="1">
      <alignment vertical="center" wrapText="1"/>
    </xf>
    <xf numFmtId="0" fontId="51" fillId="0" borderId="0" xfId="0" applyFont="1" applyAlignment="1">
      <alignment horizontal="left"/>
    </xf>
    <xf numFmtId="0" fontId="52" fillId="0" borderId="0" xfId="0" applyFont="1" applyAlignment="1">
      <alignment horizontal="left"/>
    </xf>
    <xf numFmtId="0" fontId="53" fillId="22" borderId="0" xfId="0" applyFont="1" applyFill="1" applyAlignment="1">
      <alignment vertical="center" wrapText="1"/>
    </xf>
    <xf numFmtId="0" fontId="53" fillId="24" borderId="0" xfId="0" applyFont="1" applyFill="1" applyAlignment="1">
      <alignment horizontal="center" vertical="center" wrapText="1"/>
    </xf>
    <xf numFmtId="0" fontId="54" fillId="22" borderId="1" xfId="0" applyFont="1" applyFill="1" applyBorder="1" applyAlignment="1">
      <alignment horizontal="left" vertical="center" wrapText="1"/>
    </xf>
    <xf numFmtId="0" fontId="55" fillId="16" borderId="1" xfId="0" applyFont="1" applyFill="1" applyBorder="1" applyAlignment="1">
      <alignment horizontal="center" vertical="center" wrapText="1"/>
    </xf>
    <xf numFmtId="0" fontId="47" fillId="17" borderId="1" xfId="0" applyFont="1" applyFill="1" applyBorder="1" applyAlignment="1">
      <alignment horizontal="center" vertical="center" wrapText="1"/>
    </xf>
    <xf numFmtId="0" fontId="56" fillId="17" borderId="1" xfId="0" applyFont="1" applyFill="1" applyBorder="1" applyAlignment="1">
      <alignment horizontal="left" vertical="center" wrapText="1"/>
    </xf>
    <xf numFmtId="0" fontId="56" fillId="17" borderId="1" xfId="0" applyFont="1" applyFill="1" applyBorder="1" applyAlignment="1">
      <alignment horizontal="center" vertical="center" wrapText="1"/>
    </xf>
    <xf numFmtId="0" fontId="57" fillId="6" borderId="1" xfId="0" applyFont="1" applyFill="1" applyBorder="1" applyAlignment="1">
      <alignment horizontal="left" vertical="center" wrapText="1"/>
    </xf>
    <xf numFmtId="0" fontId="58" fillId="7" borderId="1" xfId="0" applyFont="1" applyFill="1" applyBorder="1" applyAlignment="1">
      <alignment horizontal="left" vertical="center" wrapText="1"/>
    </xf>
    <xf numFmtId="0" fontId="56" fillId="0" borderId="0" xfId="0" applyFont="1" applyAlignment="1">
      <alignment horizontal="left" vertical="center" wrapText="1"/>
    </xf>
    <xf numFmtId="0" fontId="56" fillId="13" borderId="1" xfId="0" applyFont="1" applyFill="1" applyBorder="1" applyAlignment="1">
      <alignment horizontal="center" vertical="center" wrapText="1"/>
    </xf>
    <xf numFmtId="0" fontId="53" fillId="22" borderId="0" xfId="0" applyFont="1" applyFill="1" applyAlignment="1">
      <alignment horizontal="center" wrapText="1"/>
    </xf>
    <xf numFmtId="0" fontId="59" fillId="22" borderId="0" xfId="0" applyFont="1" applyFill="1" applyAlignment="1">
      <alignment vertical="center" wrapText="1"/>
    </xf>
    <xf numFmtId="0" fontId="61" fillId="24" borderId="0" xfId="0" applyFont="1" applyFill="1" applyAlignment="1">
      <alignment vertical="center" wrapText="1"/>
    </xf>
    <xf numFmtId="0" fontId="60" fillId="0" borderId="0" xfId="0" applyFont="1" applyAlignment="1">
      <alignment horizontal="left"/>
    </xf>
    <xf numFmtId="0" fontId="59" fillId="22" borderId="0" xfId="0" applyFont="1" applyFill="1" applyAlignment="1">
      <alignment horizontal="center" wrapText="1"/>
    </xf>
    <xf numFmtId="0" fontId="64" fillId="0" borderId="0" xfId="0" applyFont="1"/>
    <xf numFmtId="0" fontId="12" fillId="17" borderId="1" xfId="0" quotePrefix="1" applyFont="1" applyFill="1" applyBorder="1" applyAlignment="1">
      <alignment horizontal="left" vertical="center" wrapText="1"/>
    </xf>
    <xf numFmtId="0" fontId="65" fillId="0" borderId="0" xfId="0" applyFont="1" applyAlignment="1">
      <alignment horizontal="center" wrapText="1"/>
    </xf>
    <xf numFmtId="0" fontId="66" fillId="0" borderId="0" xfId="0" applyFont="1" applyAlignment="1">
      <alignment horizontal="center" wrapText="1"/>
    </xf>
    <xf numFmtId="0" fontId="16" fillId="0" borderId="0" xfId="0" applyFont="1"/>
    <xf numFmtId="0" fontId="50" fillId="25" borderId="0" xfId="0" applyFont="1" applyFill="1" applyAlignment="1">
      <alignment vertical="center" wrapText="1"/>
    </xf>
    <xf numFmtId="0" fontId="0" fillId="0" borderId="0" xfId="0" quotePrefix="1" applyAlignment="1">
      <alignment wrapText="1"/>
    </xf>
    <xf numFmtId="0" fontId="12" fillId="15" borderId="1" xfId="0" quotePrefix="1" applyFont="1" applyFill="1" applyBorder="1" applyAlignment="1">
      <alignment horizontal="left" vertical="center" wrapText="1"/>
    </xf>
    <xf numFmtId="0" fontId="48" fillId="25" borderId="0" xfId="0" applyFont="1" applyFill="1" applyAlignment="1">
      <alignment vertical="center" wrapText="1"/>
    </xf>
    <xf numFmtId="0" fontId="49" fillId="0" borderId="0" xfId="0" applyFont="1" applyAlignment="1">
      <alignment horizontal="center" wrapText="1"/>
    </xf>
    <xf numFmtId="0" fontId="49" fillId="22" borderId="0" xfId="0" applyFont="1" applyFill="1" applyAlignment="1">
      <alignment horizontal="center" wrapText="1"/>
    </xf>
    <xf numFmtId="0" fontId="59" fillId="0" borderId="0" xfId="0" applyFont="1" applyAlignment="1">
      <alignment horizontal="center" wrapText="1"/>
    </xf>
    <xf numFmtId="0" fontId="46" fillId="18" borderId="7" xfId="0" applyFont="1" applyFill="1" applyBorder="1" applyAlignment="1">
      <alignment horizontal="center" vertical="center" wrapText="1"/>
    </xf>
    <xf numFmtId="0" fontId="0" fillId="0" borderId="0" xfId="0" applyAlignment="1">
      <alignment wrapText="1"/>
    </xf>
    <xf numFmtId="0" fontId="53" fillId="0" borderId="0" xfId="0" applyFont="1" applyAlignment="1">
      <alignment horizontal="center" wrapText="1"/>
    </xf>
    <xf numFmtId="0" fontId="70" fillId="17" borderId="1" xfId="0" applyFont="1" applyFill="1" applyBorder="1" applyAlignment="1">
      <alignment horizontal="left" vertical="center" wrapText="1"/>
    </xf>
    <xf numFmtId="0" fontId="31" fillId="0" borderId="0" xfId="0" applyFont="1" applyAlignment="1">
      <alignment vertical="center"/>
    </xf>
    <xf numFmtId="0" fontId="0" fillId="0" borderId="0" xfId="0" applyAlignment="1">
      <alignment vertical="center"/>
    </xf>
    <xf numFmtId="0" fontId="0" fillId="0" borderId="0" xfId="0" applyAlignment="1">
      <alignment vertical="center" wrapText="1"/>
    </xf>
    <xf numFmtId="0" fontId="0" fillId="0" borderId="8" xfId="0" applyBorder="1" applyAlignment="1">
      <alignment vertical="center" wrapText="1"/>
    </xf>
    <xf numFmtId="0" fontId="0" fillId="0" borderId="8" xfId="0" quotePrefix="1" applyBorder="1" applyAlignment="1">
      <alignment vertical="center" wrapText="1"/>
    </xf>
    <xf numFmtId="0" fontId="71" fillId="26" borderId="8" xfId="0" applyFont="1" applyFill="1" applyBorder="1" applyAlignment="1">
      <alignment vertical="center" wrapText="1"/>
    </xf>
    <xf numFmtId="0" fontId="31" fillId="27" borderId="8" xfId="0" applyFont="1" applyFill="1" applyBorder="1" applyAlignment="1">
      <alignment vertical="center" wrapText="1"/>
    </xf>
    <xf numFmtId="0" fontId="0" fillId="27" borderId="8" xfId="0" applyFill="1" applyBorder="1" applyAlignment="1">
      <alignment vertical="center" wrapText="1"/>
    </xf>
    <xf numFmtId="0" fontId="31" fillId="27" borderId="8" xfId="0" applyFont="1" applyFill="1" applyBorder="1" applyAlignment="1">
      <alignment vertical="center"/>
    </xf>
    <xf numFmtId="0" fontId="0" fillId="27" borderId="8" xfId="0" applyFill="1" applyBorder="1" applyAlignment="1">
      <alignment vertical="center"/>
    </xf>
    <xf numFmtId="0" fontId="16" fillId="0" borderId="0" xfId="0" applyFont="1" applyAlignment="1">
      <alignment vertical="center"/>
    </xf>
    <xf numFmtId="0" fontId="26" fillId="0" borderId="8" xfId="0" applyFont="1" applyBorder="1" applyAlignment="1">
      <alignment vertical="center" wrapText="1"/>
    </xf>
    <xf numFmtId="0" fontId="16" fillId="0" borderId="0" xfId="0" quotePrefix="1" applyFont="1" applyAlignment="1">
      <alignment vertical="center" wrapText="1"/>
    </xf>
    <xf numFmtId="0" fontId="73" fillId="0" borderId="8" xfId="0" applyFont="1" applyBorder="1" applyAlignment="1">
      <alignment vertical="center" wrapText="1"/>
    </xf>
    <xf numFmtId="0" fontId="31" fillId="0" borderId="8" xfId="0" applyFont="1" applyBorder="1" applyAlignment="1">
      <alignment vertical="center" wrapText="1"/>
    </xf>
    <xf numFmtId="0" fontId="26" fillId="0" borderId="8" xfId="0" quotePrefix="1" applyFont="1" applyBorder="1" applyAlignment="1">
      <alignment vertical="center" wrapText="1"/>
    </xf>
    <xf numFmtId="0" fontId="72" fillId="0" borderId="0" xfId="0" applyFont="1"/>
    <xf numFmtId="0" fontId="16" fillId="18" borderId="4" xfId="0" applyFont="1" applyFill="1" applyBorder="1" applyAlignment="1">
      <alignment horizontal="center"/>
    </xf>
    <xf numFmtId="0" fontId="16" fillId="18" borderId="5" xfId="0" applyFont="1" applyFill="1" applyBorder="1" applyAlignment="1">
      <alignment horizontal="center"/>
    </xf>
    <xf numFmtId="0" fontId="16" fillId="18" borderId="6" xfId="0" applyFont="1" applyFill="1" applyBorder="1" applyAlignment="1">
      <alignment horizontal="center"/>
    </xf>
    <xf numFmtId="0" fontId="39" fillId="0" borderId="0" xfId="0" applyFont="1"/>
    <xf numFmtId="0" fontId="45" fillId="0" borderId="0" xfId="0" applyFont="1"/>
    <xf numFmtId="0" fontId="74" fillId="16" borderId="1" xfId="0" applyFont="1" applyFill="1" applyBorder="1" applyAlignment="1">
      <alignment horizontal="center" vertical="center" wrapText="1"/>
    </xf>
    <xf numFmtId="0" fontId="75" fillId="17" borderId="1" xfId="0" applyFont="1" applyFill="1" applyBorder="1" applyAlignment="1">
      <alignment horizontal="center" vertical="center" wrapText="1"/>
    </xf>
    <xf numFmtId="0" fontId="75" fillId="17" borderId="1" xfId="0" applyFont="1" applyFill="1" applyBorder="1" applyAlignment="1">
      <alignment horizontal="left" vertical="center" wrapText="1"/>
    </xf>
    <xf numFmtId="0" fontId="76" fillId="17" borderId="1" xfId="0" applyFont="1" applyFill="1" applyBorder="1" applyAlignment="1">
      <alignment horizontal="left" vertical="center" wrapText="1"/>
    </xf>
    <xf numFmtId="0" fontId="76" fillId="15" borderId="1" xfId="0" applyFont="1" applyFill="1" applyBorder="1" applyAlignment="1">
      <alignment horizontal="left" vertical="center" wrapText="1"/>
    </xf>
    <xf numFmtId="0" fontId="77" fillId="15" borderId="1" xfId="0" applyFont="1" applyFill="1" applyBorder="1" applyAlignment="1">
      <alignment horizontal="left" vertical="center" wrapText="1"/>
    </xf>
    <xf numFmtId="0" fontId="77" fillId="15" borderId="1" xfId="0" applyFont="1" applyFill="1" applyBorder="1" applyAlignment="1">
      <alignment horizontal="center" vertical="center" wrapText="1"/>
    </xf>
    <xf numFmtId="0" fontId="74" fillId="14" borderId="1" xfId="0" applyFont="1" applyFill="1" applyBorder="1" applyAlignment="1">
      <alignment horizontal="center" vertical="center" wrapText="1"/>
    </xf>
    <xf numFmtId="0" fontId="76" fillId="15" borderId="1" xfId="0" applyFont="1" applyFill="1" applyBorder="1" applyAlignment="1">
      <alignment horizontal="center" vertical="center" wrapText="1"/>
    </xf>
    <xf numFmtId="0" fontId="78" fillId="7" borderId="1" xfId="0" applyFont="1" applyFill="1" applyBorder="1" applyAlignment="1">
      <alignment horizontal="left" vertical="center" wrapText="1"/>
    </xf>
    <xf numFmtId="0" fontId="79" fillId="0" borderId="0" xfId="0" applyFont="1" applyAlignment="1">
      <alignment horizontal="left" wrapText="1"/>
    </xf>
    <xf numFmtId="0" fontId="0" fillId="0" borderId="0" xfId="0" applyFill="1" applyAlignment="1">
      <alignment horizontal="center" wrapText="1"/>
    </xf>
    <xf numFmtId="0" fontId="80" fillId="22" borderId="1" xfId="0" applyFont="1" applyFill="1" applyBorder="1" applyAlignment="1">
      <alignment horizontal="left" vertical="center" wrapText="1"/>
    </xf>
    <xf numFmtId="0" fontId="74" fillId="12" borderId="1" xfId="0" applyFont="1" applyFill="1" applyBorder="1" applyAlignment="1">
      <alignment horizontal="center" vertical="center" wrapText="1"/>
    </xf>
    <xf numFmtId="0" fontId="81" fillId="13" borderId="1" xfId="0" applyFont="1" applyFill="1" applyBorder="1" applyAlignment="1">
      <alignment horizontal="center" vertical="center" wrapText="1"/>
    </xf>
    <xf numFmtId="0" fontId="81" fillId="13" borderId="1" xfId="0" applyFont="1" applyFill="1" applyBorder="1" applyAlignment="1">
      <alignment horizontal="left" vertical="center" wrapText="1"/>
    </xf>
    <xf numFmtId="0" fontId="76" fillId="13" borderId="1" xfId="0" applyFont="1" applyFill="1" applyBorder="1" applyAlignment="1">
      <alignment horizontal="left" vertical="center" wrapText="1"/>
    </xf>
    <xf numFmtId="0" fontId="76" fillId="13" borderId="1" xfId="0" applyFont="1" applyFill="1" applyBorder="1" applyAlignment="1">
      <alignment horizontal="center" vertical="center" wrapText="1"/>
    </xf>
    <xf numFmtId="0" fontId="82" fillId="6" borderId="1" xfId="0" applyFont="1" applyFill="1" applyBorder="1" applyAlignment="1">
      <alignment horizontal="left" vertical="center" wrapText="1"/>
    </xf>
    <xf numFmtId="0" fontId="76" fillId="0" borderId="0" xfId="0" applyFont="1" applyAlignment="1">
      <alignment horizontal="left" vertical="center" wrapText="1"/>
    </xf>
  </cellXfs>
  <cellStyles count="2">
    <cellStyle name="Normal" xfId="0" builtinId="0"/>
    <cellStyle name="Normal 2" xfId="1" xr:uid="{C1C53F91-24C0-4218-9544-8A323A888A5A}"/>
  </cellStyles>
  <dxfs count="0"/>
  <tableStyles count="0" defaultTableStyle="TableStyleMedium9" defaultPivotStyle="PivotStyleLight16"/>
  <colors>
    <mruColors>
      <color rgb="FF1A7A4A"/>
      <color rgb="FF2E75B6"/>
      <color rgb="FFE2EFDA"/>
      <color rgb="FF7B2FB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10</xdr:col>
      <xdr:colOff>346363</xdr:colOff>
      <xdr:row>11</xdr:row>
      <xdr:rowOff>173252</xdr:rowOff>
    </xdr:from>
    <xdr:to>
      <xdr:col>22</xdr:col>
      <xdr:colOff>189357</xdr:colOff>
      <xdr:row>16</xdr:row>
      <xdr:rowOff>313459</xdr:rowOff>
    </xdr:to>
    <xdr:pic>
      <xdr:nvPicPr>
        <xdr:cNvPr id="2" name="Picture 2">
          <a:extLst>
            <a:ext uri="{FF2B5EF4-FFF2-40B4-BE49-F238E27FC236}">
              <a16:creationId xmlns:a16="http://schemas.microsoft.com/office/drawing/2014/main" id="{B0258412-CE34-7F9D-FB70-E2DDD1E37AB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91227" y="5149343"/>
          <a:ext cx="7185903" cy="30900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862A0-24D2-4A37-94A7-BB1B161E7090}">
  <sheetPr>
    <pageSetUpPr fitToPage="1"/>
  </sheetPr>
  <dimension ref="A1:G26"/>
  <sheetViews>
    <sheetView zoomScaleNormal="100" workbookViewId="0">
      <pane ySplit="3" topLeftCell="A4" activePane="bottomLeft" state="frozen"/>
      <selection pane="bottomLeft" activeCell="D6" sqref="D6"/>
    </sheetView>
  </sheetViews>
  <sheetFormatPr defaultRowHeight="14.5" x14ac:dyDescent="0.35"/>
  <cols>
    <col min="1" max="1" width="22" customWidth="1"/>
    <col min="2" max="2" width="24" customWidth="1"/>
    <col min="3" max="3" width="52" customWidth="1"/>
    <col min="4" max="4" width="48" customWidth="1"/>
    <col min="5" max="5" width="52" customWidth="1"/>
    <col min="6" max="6" width="30" customWidth="1"/>
    <col min="7" max="7" width="52" customWidth="1"/>
  </cols>
  <sheetData>
    <row r="1" spans="1:7" ht="36" customHeight="1" x14ac:dyDescent="0.35">
      <c r="A1" s="63" t="s">
        <v>628</v>
      </c>
      <c r="B1" s="63"/>
      <c r="C1" s="63"/>
      <c r="D1" s="63"/>
      <c r="E1" s="63"/>
      <c r="F1" s="63"/>
      <c r="G1" s="63"/>
    </row>
    <row r="2" spans="1:7" ht="22" customHeight="1" x14ac:dyDescent="0.35">
      <c r="A2" s="140" t="s">
        <v>840</v>
      </c>
      <c r="B2" s="140"/>
      <c r="C2" s="140"/>
      <c r="D2" s="140"/>
      <c r="E2" s="140"/>
      <c r="F2" s="140"/>
      <c r="G2" s="140"/>
    </row>
    <row r="3" spans="1:7" ht="36" customHeight="1" x14ac:dyDescent="0.35">
      <c r="A3" s="64" t="s">
        <v>629</v>
      </c>
      <c r="B3" s="64" t="s">
        <v>630</v>
      </c>
      <c r="C3" s="64" t="s">
        <v>631</v>
      </c>
      <c r="D3" s="64" t="s">
        <v>632</v>
      </c>
      <c r="E3" s="64" t="s">
        <v>633</v>
      </c>
      <c r="F3" s="64" t="s">
        <v>634</v>
      </c>
      <c r="G3" s="64" t="s">
        <v>635</v>
      </c>
    </row>
    <row r="4" spans="1:7" ht="80.150000000000006" customHeight="1" x14ac:dyDescent="0.35">
      <c r="A4" s="65" t="s">
        <v>636</v>
      </c>
      <c r="B4" s="66" t="s">
        <v>637</v>
      </c>
      <c r="C4" s="67" t="s">
        <v>638</v>
      </c>
      <c r="D4" s="67" t="s">
        <v>639</v>
      </c>
      <c r="E4" s="68" t="s">
        <v>640</v>
      </c>
      <c r="F4" s="67" t="s">
        <v>641</v>
      </c>
      <c r="G4" s="69" t="s">
        <v>642</v>
      </c>
    </row>
    <row r="5" spans="1:7" ht="80.150000000000006" customHeight="1" x14ac:dyDescent="0.35">
      <c r="A5" s="70"/>
      <c r="B5" s="71" t="s">
        <v>643</v>
      </c>
      <c r="C5" s="72" t="s">
        <v>644</v>
      </c>
      <c r="D5" s="72" t="s">
        <v>645</v>
      </c>
      <c r="E5" s="68" t="s">
        <v>646</v>
      </c>
      <c r="F5" s="72" t="s">
        <v>647</v>
      </c>
      <c r="G5" s="69" t="s">
        <v>648</v>
      </c>
    </row>
    <row r="6" spans="1:7" ht="80.150000000000006" customHeight="1" x14ac:dyDescent="0.35">
      <c r="A6" s="70"/>
      <c r="B6" s="66" t="s">
        <v>649</v>
      </c>
      <c r="C6" s="67" t="s">
        <v>650</v>
      </c>
      <c r="D6" s="67" t="s">
        <v>651</v>
      </c>
      <c r="E6" s="68" t="s">
        <v>652</v>
      </c>
      <c r="F6" s="67" t="s">
        <v>653</v>
      </c>
      <c r="G6" s="69" t="s">
        <v>654</v>
      </c>
    </row>
    <row r="7" spans="1:7" ht="80.150000000000006" customHeight="1" x14ac:dyDescent="0.35">
      <c r="A7" s="70"/>
      <c r="B7" s="71" t="s">
        <v>655</v>
      </c>
      <c r="C7" s="72" t="s">
        <v>656</v>
      </c>
      <c r="D7" s="72" t="s">
        <v>657</v>
      </c>
      <c r="E7" s="68" t="s">
        <v>658</v>
      </c>
      <c r="F7" s="72" t="s">
        <v>659</v>
      </c>
      <c r="G7" s="69" t="s">
        <v>660</v>
      </c>
    </row>
    <row r="8" spans="1:7" ht="80.150000000000006" customHeight="1" x14ac:dyDescent="0.35">
      <c r="A8" s="70"/>
      <c r="B8" s="66" t="s">
        <v>661</v>
      </c>
      <c r="C8" s="67" t="s">
        <v>662</v>
      </c>
      <c r="D8" s="67" t="s">
        <v>663</v>
      </c>
      <c r="E8" s="68" t="s">
        <v>664</v>
      </c>
      <c r="F8" s="67" t="s">
        <v>665</v>
      </c>
      <c r="G8" s="69" t="s">
        <v>666</v>
      </c>
    </row>
    <row r="9" spans="1:7" ht="80.150000000000006" customHeight="1" x14ac:dyDescent="0.35">
      <c r="A9" s="70"/>
      <c r="B9" s="71" t="s">
        <v>667</v>
      </c>
      <c r="C9" s="72" t="s">
        <v>668</v>
      </c>
      <c r="D9" s="72" t="s">
        <v>669</v>
      </c>
      <c r="E9" s="68" t="s">
        <v>670</v>
      </c>
      <c r="F9" s="72" t="s">
        <v>671</v>
      </c>
      <c r="G9" s="69" t="s">
        <v>672</v>
      </c>
    </row>
    <row r="10" spans="1:7" ht="80.150000000000006" customHeight="1" x14ac:dyDescent="0.35">
      <c r="A10" s="65" t="s">
        <v>673</v>
      </c>
      <c r="B10" s="66" t="s">
        <v>674</v>
      </c>
      <c r="C10" s="67" t="s">
        <v>675</v>
      </c>
      <c r="D10" s="67" t="s">
        <v>676</v>
      </c>
      <c r="E10" s="68" t="s">
        <v>677</v>
      </c>
      <c r="F10" s="67" t="s">
        <v>678</v>
      </c>
      <c r="G10" s="69" t="s">
        <v>679</v>
      </c>
    </row>
    <row r="11" spans="1:7" ht="80.150000000000006" customHeight="1" x14ac:dyDescent="0.35">
      <c r="A11" s="70"/>
      <c r="B11" s="71" t="s">
        <v>680</v>
      </c>
      <c r="C11" s="72" t="s">
        <v>681</v>
      </c>
      <c r="D11" s="72" t="s">
        <v>682</v>
      </c>
      <c r="E11" s="68" t="s">
        <v>683</v>
      </c>
      <c r="F11" s="72" t="s">
        <v>684</v>
      </c>
      <c r="G11" s="69" t="s">
        <v>685</v>
      </c>
    </row>
    <row r="12" spans="1:7" ht="80.150000000000006" customHeight="1" x14ac:dyDescent="0.35">
      <c r="A12" s="65" t="s">
        <v>686</v>
      </c>
      <c r="B12" s="66" t="s">
        <v>14</v>
      </c>
      <c r="C12" s="67" t="s">
        <v>687</v>
      </c>
      <c r="D12" s="67" t="s">
        <v>688</v>
      </c>
      <c r="E12" s="68" t="s">
        <v>689</v>
      </c>
      <c r="F12" s="67" t="s">
        <v>690</v>
      </c>
      <c r="G12" s="69" t="s">
        <v>691</v>
      </c>
    </row>
    <row r="13" spans="1:7" ht="80.150000000000006" customHeight="1" x14ac:dyDescent="0.35">
      <c r="A13" s="70"/>
      <c r="B13" s="71" t="s">
        <v>692</v>
      </c>
      <c r="C13" s="72" t="s">
        <v>693</v>
      </c>
      <c r="D13" s="72" t="s">
        <v>694</v>
      </c>
      <c r="E13" s="68" t="s">
        <v>695</v>
      </c>
      <c r="F13" s="72" t="s">
        <v>696</v>
      </c>
      <c r="G13" s="69" t="s">
        <v>697</v>
      </c>
    </row>
    <row r="14" spans="1:7" ht="80.150000000000006" customHeight="1" x14ac:dyDescent="0.35">
      <c r="A14" s="70"/>
      <c r="B14" s="66" t="s">
        <v>698</v>
      </c>
      <c r="C14" s="67" t="s">
        <v>699</v>
      </c>
      <c r="D14" s="67" t="s">
        <v>700</v>
      </c>
      <c r="E14" s="68" t="s">
        <v>701</v>
      </c>
      <c r="F14" s="67" t="s">
        <v>702</v>
      </c>
      <c r="G14" s="69" t="s">
        <v>703</v>
      </c>
    </row>
    <row r="15" spans="1:7" ht="80.150000000000006" customHeight="1" x14ac:dyDescent="0.35">
      <c r="A15" s="70"/>
      <c r="B15" s="71" t="s">
        <v>704</v>
      </c>
      <c r="C15" s="72" t="s">
        <v>705</v>
      </c>
      <c r="D15" s="72" t="s">
        <v>706</v>
      </c>
      <c r="E15" s="68" t="s">
        <v>707</v>
      </c>
      <c r="F15" s="72" t="s">
        <v>708</v>
      </c>
      <c r="G15" s="69" t="s">
        <v>709</v>
      </c>
    </row>
    <row r="16" spans="1:7" ht="80.150000000000006" customHeight="1" x14ac:dyDescent="0.35">
      <c r="A16" s="70"/>
      <c r="B16" s="66" t="s">
        <v>710</v>
      </c>
      <c r="C16" s="67" t="s">
        <v>711</v>
      </c>
      <c r="D16" s="67" t="s">
        <v>712</v>
      </c>
      <c r="E16" s="68" t="s">
        <v>713</v>
      </c>
      <c r="F16" s="67" t="s">
        <v>714</v>
      </c>
      <c r="G16" s="69" t="s">
        <v>715</v>
      </c>
    </row>
    <row r="17" spans="1:7" ht="80.150000000000006" customHeight="1" x14ac:dyDescent="0.35">
      <c r="A17" s="65" t="s">
        <v>716</v>
      </c>
      <c r="B17" s="71" t="s">
        <v>717</v>
      </c>
      <c r="C17" s="72" t="s">
        <v>718</v>
      </c>
      <c r="D17" s="72" t="s">
        <v>719</v>
      </c>
      <c r="E17" s="68" t="s">
        <v>720</v>
      </c>
      <c r="F17" s="72" t="s">
        <v>721</v>
      </c>
      <c r="G17" s="69" t="s">
        <v>722</v>
      </c>
    </row>
    <row r="18" spans="1:7" ht="80.150000000000006" customHeight="1" x14ac:dyDescent="0.35">
      <c r="A18" s="70"/>
      <c r="B18" s="66" t="s">
        <v>723</v>
      </c>
      <c r="C18" s="67" t="s">
        <v>724</v>
      </c>
      <c r="D18" s="67" t="s">
        <v>725</v>
      </c>
      <c r="E18" s="68" t="s">
        <v>726</v>
      </c>
      <c r="F18" s="67" t="s">
        <v>727</v>
      </c>
      <c r="G18" s="69" t="s">
        <v>728</v>
      </c>
    </row>
    <row r="19" spans="1:7" ht="80.150000000000006" customHeight="1" x14ac:dyDescent="0.35">
      <c r="A19" s="65" t="s">
        <v>729</v>
      </c>
      <c r="B19" s="71" t="s">
        <v>248</v>
      </c>
      <c r="C19" s="72" t="s">
        <v>730</v>
      </c>
      <c r="D19" s="72" t="s">
        <v>731</v>
      </c>
      <c r="E19" s="68" t="s">
        <v>732</v>
      </c>
      <c r="F19" s="72" t="s">
        <v>733</v>
      </c>
      <c r="G19" s="69" t="s">
        <v>734</v>
      </c>
    </row>
    <row r="20" spans="1:7" ht="80.150000000000006" customHeight="1" x14ac:dyDescent="0.35">
      <c r="A20" s="70"/>
      <c r="B20" s="66" t="s">
        <v>735</v>
      </c>
      <c r="C20" s="67" t="s">
        <v>736</v>
      </c>
      <c r="D20" s="67" t="s">
        <v>737</v>
      </c>
      <c r="E20" s="68" t="s">
        <v>738</v>
      </c>
      <c r="F20" s="67" t="s">
        <v>739</v>
      </c>
      <c r="G20" s="69" t="s">
        <v>740</v>
      </c>
    </row>
    <row r="21" spans="1:7" ht="80.150000000000006" customHeight="1" x14ac:dyDescent="0.35">
      <c r="A21" s="65" t="s">
        <v>741</v>
      </c>
      <c r="B21" s="71" t="s">
        <v>742</v>
      </c>
      <c r="C21" s="72" t="s">
        <v>743</v>
      </c>
      <c r="D21" s="72" t="s">
        <v>744</v>
      </c>
      <c r="E21" s="68" t="s">
        <v>745</v>
      </c>
      <c r="F21" s="72" t="s">
        <v>746</v>
      </c>
      <c r="G21" s="69" t="s">
        <v>747</v>
      </c>
    </row>
    <row r="22" spans="1:7" ht="80.150000000000006" customHeight="1" x14ac:dyDescent="0.35">
      <c r="A22" s="70"/>
      <c r="B22" s="66" t="s">
        <v>748</v>
      </c>
      <c r="C22" s="67" t="s">
        <v>749</v>
      </c>
      <c r="D22" s="67" t="s">
        <v>750</v>
      </c>
      <c r="E22" s="68" t="s">
        <v>751</v>
      </c>
      <c r="F22" s="67" t="s">
        <v>752</v>
      </c>
      <c r="G22" s="69" t="s">
        <v>753</v>
      </c>
    </row>
    <row r="23" spans="1:7" ht="80.150000000000006" customHeight="1" x14ac:dyDescent="0.35">
      <c r="A23" s="65" t="s">
        <v>754</v>
      </c>
      <c r="B23" s="71" t="s">
        <v>755</v>
      </c>
      <c r="C23" s="72" t="s">
        <v>756</v>
      </c>
      <c r="D23" s="72" t="s">
        <v>757</v>
      </c>
      <c r="E23" s="68" t="s">
        <v>758</v>
      </c>
      <c r="F23" s="72" t="s">
        <v>759</v>
      </c>
      <c r="G23" s="69" t="s">
        <v>760</v>
      </c>
    </row>
    <row r="24" spans="1:7" ht="80.150000000000006" customHeight="1" x14ac:dyDescent="0.35">
      <c r="A24" s="70"/>
      <c r="B24" s="66" t="s">
        <v>761</v>
      </c>
      <c r="C24" s="67" t="s">
        <v>762</v>
      </c>
      <c r="D24" s="67" t="s">
        <v>763</v>
      </c>
      <c r="E24" s="68" t="s">
        <v>764</v>
      </c>
      <c r="F24" s="67" t="s">
        <v>727</v>
      </c>
      <c r="G24" s="69" t="s">
        <v>765</v>
      </c>
    </row>
    <row r="26" spans="1:7" x14ac:dyDescent="0.35">
      <c r="A26" s="141" t="s">
        <v>766</v>
      </c>
      <c r="B26" s="141"/>
      <c r="C26" s="141"/>
      <c r="D26" s="141"/>
      <c r="E26" s="141"/>
      <c r="F26" s="141"/>
      <c r="G26" s="141"/>
    </row>
  </sheetData>
  <mergeCells count="2">
    <mergeCell ref="A2:G2"/>
    <mergeCell ref="A26:G26"/>
  </mergeCells>
  <pageMargins left="0.7" right="0.7" top="0.75" bottom="0.75" header="0.3" footer="0.3"/>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0AFF3-141C-4311-B2EC-84952B1647D4}">
  <dimension ref="A1:AD449"/>
  <sheetViews>
    <sheetView tabSelected="1" zoomScale="110" zoomScaleNormal="110" workbookViewId="0">
      <pane xSplit="6" ySplit="6" topLeftCell="G179" activePane="bottomRight" state="frozen"/>
      <selection pane="topRight" activeCell="G1" sqref="G1"/>
      <selection pane="bottomLeft" activeCell="A8" sqref="A8"/>
      <selection pane="bottomRight" activeCell="E181" sqref="E181"/>
    </sheetView>
  </sheetViews>
  <sheetFormatPr defaultColWidth="0" defaultRowHeight="14.5" outlineLevelRow="1" outlineLevelCol="1" x14ac:dyDescent="0.35"/>
  <cols>
    <col min="1" max="1" width="8.81640625" style="53" customWidth="1"/>
    <col min="2" max="2" width="26.81640625" style="57" customWidth="1"/>
    <col min="3" max="4" width="9" customWidth="1"/>
    <col min="5" max="5" width="28" customWidth="1"/>
    <col min="6" max="6" width="40" customWidth="1"/>
    <col min="7" max="7" width="17.453125" customWidth="1"/>
    <col min="8" max="8" width="12" style="46" customWidth="1"/>
    <col min="9" max="9" width="43.81640625" hidden="1" customWidth="1" outlineLevel="1"/>
    <col min="10" max="10" width="47" hidden="1" customWidth="1" outlineLevel="1"/>
    <col min="11" max="11" width="22.453125" hidden="1" customWidth="1" outlineLevel="1"/>
    <col min="12" max="12" width="47.54296875" hidden="1" customWidth="1" outlineLevel="1"/>
    <col min="13" max="16" width="20" hidden="1" customWidth="1" outlineLevel="1"/>
    <col min="17" max="17" width="20" customWidth="1" collapsed="1"/>
    <col min="18" max="19" width="22" customWidth="1"/>
    <col min="20" max="20" width="1.54296875" customWidth="1"/>
    <col min="21" max="21" width="30.1796875" style="53" hidden="1" customWidth="1" outlineLevel="1"/>
    <col min="22" max="22" width="39.1796875" style="53" hidden="1" customWidth="1" outlineLevel="1"/>
    <col min="23" max="23" width="38.1796875" style="53" hidden="1" customWidth="1" outlineLevel="1"/>
    <col min="24" max="25" width="10.453125" style="53" hidden="1" customWidth="1" outlineLevel="1"/>
    <col min="26" max="26" width="8.7265625" customWidth="1" collapsed="1"/>
    <col min="27" max="27" width="12.1796875" style="53" customWidth="1" outlineLevel="1"/>
    <col min="28" max="28" width="8.7265625" customWidth="1"/>
    <col min="29" max="29" width="29" style="117" customWidth="1"/>
    <col min="30" max="30" width="22.1796875" style="117" customWidth="1"/>
    <col min="31" max="16384" width="8.7265625" bestFit="1" customWidth="1"/>
  </cols>
  <sheetData>
    <row r="1" spans="1:30" x14ac:dyDescent="0.35">
      <c r="A1" s="62" t="s">
        <v>798</v>
      </c>
      <c r="C1" s="44"/>
      <c r="G1" s="110"/>
      <c r="Q1" s="136"/>
      <c r="R1" s="104"/>
      <c r="V1" s="86" t="s">
        <v>1095</v>
      </c>
      <c r="W1" s="87" t="s">
        <v>1244</v>
      </c>
      <c r="X1" s="102" t="s">
        <v>1264</v>
      </c>
      <c r="Y1" s="62"/>
      <c r="AA1" s="62"/>
    </row>
    <row r="2" spans="1:30" ht="15" thickBot="1" x14ac:dyDescent="0.4">
      <c r="A2" s="62"/>
      <c r="C2" s="44"/>
      <c r="Q2" s="136"/>
      <c r="R2" s="104"/>
      <c r="S2" s="104"/>
      <c r="V2" s="86"/>
      <c r="W2" s="87"/>
      <c r="X2" s="102"/>
      <c r="Y2" s="62"/>
      <c r="AA2" s="62"/>
    </row>
    <row r="3" spans="1:30" ht="15" thickBot="1" x14ac:dyDescent="0.4">
      <c r="U3" s="137" t="s">
        <v>830</v>
      </c>
      <c r="V3" s="138"/>
      <c r="W3" s="138"/>
      <c r="X3" s="138"/>
      <c r="Y3" s="139"/>
      <c r="AA3" s="108" t="s">
        <v>1274</v>
      </c>
    </row>
    <row r="4" spans="1:30" hidden="1" outlineLevel="1" x14ac:dyDescent="0.35">
      <c r="A4" t="s">
        <v>6</v>
      </c>
      <c r="B4" t="s">
        <v>6</v>
      </c>
      <c r="C4" t="s">
        <v>6</v>
      </c>
      <c r="D4" t="s">
        <v>6</v>
      </c>
      <c r="E4" t="s">
        <v>6</v>
      </c>
      <c r="F4" t="s">
        <v>6</v>
      </c>
      <c r="G4" t="s">
        <v>6</v>
      </c>
      <c r="M4" s="34"/>
      <c r="N4" s="34"/>
      <c r="O4" s="34"/>
      <c r="P4" s="34"/>
      <c r="Q4" s="34" t="s">
        <v>6</v>
      </c>
      <c r="R4" s="34" t="s">
        <v>7</v>
      </c>
      <c r="S4" s="34" t="s">
        <v>7</v>
      </c>
      <c r="U4"/>
      <c r="V4"/>
      <c r="W4"/>
      <c r="X4"/>
      <c r="Y4"/>
      <c r="AA4"/>
    </row>
    <row r="5" spans="1:30" ht="34.5" collapsed="1" x14ac:dyDescent="0.35">
      <c r="A5" s="55" t="s">
        <v>260</v>
      </c>
      <c r="B5" s="61" t="s">
        <v>13</v>
      </c>
      <c r="C5" s="1" t="s">
        <v>8</v>
      </c>
      <c r="D5" s="1" t="s">
        <v>9</v>
      </c>
      <c r="E5" s="1" t="s">
        <v>10</v>
      </c>
      <c r="F5" s="1" t="s">
        <v>11</v>
      </c>
      <c r="G5" s="1" t="s">
        <v>12</v>
      </c>
      <c r="H5" s="1" t="s">
        <v>263</v>
      </c>
      <c r="I5" s="1" t="s">
        <v>360</v>
      </c>
      <c r="J5" s="1" t="s">
        <v>359</v>
      </c>
      <c r="K5" s="1" t="s">
        <v>361</v>
      </c>
      <c r="L5" s="1" t="s">
        <v>358</v>
      </c>
      <c r="M5" s="2" t="s">
        <v>799</v>
      </c>
      <c r="N5" s="2" t="s">
        <v>800</v>
      </c>
      <c r="O5" s="2" t="s">
        <v>801</v>
      </c>
      <c r="P5" s="2" t="s">
        <v>802</v>
      </c>
      <c r="Q5" s="3" t="s">
        <v>827</v>
      </c>
      <c r="R5" s="3" t="s">
        <v>828</v>
      </c>
      <c r="S5" s="3" t="s">
        <v>829</v>
      </c>
      <c r="T5" s="74"/>
      <c r="U5" s="73" t="s">
        <v>831</v>
      </c>
      <c r="V5" s="73" t="s">
        <v>832</v>
      </c>
      <c r="W5" s="73" t="s">
        <v>833</v>
      </c>
      <c r="X5" s="73" t="s">
        <v>834</v>
      </c>
      <c r="Y5" s="73" t="s">
        <v>835</v>
      </c>
      <c r="AA5" s="73" t="s">
        <v>1273</v>
      </c>
      <c r="AC5" s="116" t="s">
        <v>1300</v>
      </c>
      <c r="AD5" s="117" t="s">
        <v>1314</v>
      </c>
    </row>
    <row r="6" spans="1:30" x14ac:dyDescent="0.35">
      <c r="A6" s="56"/>
      <c r="B6" s="58" t="s">
        <v>13</v>
      </c>
      <c r="C6" s="4" t="s">
        <v>15</v>
      </c>
      <c r="D6" s="4" t="s">
        <v>16</v>
      </c>
      <c r="E6" s="4" t="s">
        <v>10</v>
      </c>
      <c r="F6" s="4" t="s">
        <v>17</v>
      </c>
      <c r="G6" s="4" t="s">
        <v>18</v>
      </c>
      <c r="H6" s="4" t="s">
        <v>266</v>
      </c>
      <c r="I6" s="4" t="s">
        <v>17</v>
      </c>
      <c r="J6" s="4" t="s">
        <v>17</v>
      </c>
      <c r="K6" s="4" t="s">
        <v>17</v>
      </c>
      <c r="L6" s="4" t="s">
        <v>17</v>
      </c>
      <c r="M6" s="5" t="s">
        <v>19</v>
      </c>
      <c r="N6" s="5" t="s">
        <v>19</v>
      </c>
      <c r="O6" s="5" t="s">
        <v>19</v>
      </c>
      <c r="P6" s="5" t="s">
        <v>19</v>
      </c>
      <c r="Q6" s="36" t="s">
        <v>20</v>
      </c>
      <c r="R6" s="36" t="s">
        <v>21</v>
      </c>
      <c r="S6" s="36" t="s">
        <v>1725</v>
      </c>
      <c r="T6" s="75"/>
      <c r="U6" s="56"/>
      <c r="V6" s="56"/>
      <c r="W6" s="56"/>
      <c r="X6" s="56"/>
      <c r="Y6" s="56"/>
      <c r="AA6" s="56"/>
    </row>
    <row r="7" spans="1:30" ht="57.5" x14ac:dyDescent="0.35">
      <c r="A7" s="56"/>
      <c r="B7" s="59" t="s">
        <v>1948</v>
      </c>
      <c r="C7" s="6" t="s">
        <v>0</v>
      </c>
      <c r="D7" s="7" t="s">
        <v>22</v>
      </c>
      <c r="E7" s="8" t="s">
        <v>23</v>
      </c>
      <c r="F7" s="9" t="s">
        <v>1949</v>
      </c>
      <c r="G7" s="9" t="s">
        <v>4</v>
      </c>
      <c r="H7" s="47" t="s">
        <v>265</v>
      </c>
      <c r="I7" s="9"/>
      <c r="J7" s="9"/>
      <c r="K7" s="9"/>
      <c r="L7" s="9"/>
      <c r="M7" s="10"/>
      <c r="N7" s="10"/>
      <c r="O7" s="10"/>
      <c r="P7" s="10"/>
      <c r="Q7" s="11" t="s">
        <v>1283</v>
      </c>
      <c r="R7" s="11" t="s">
        <v>1283</v>
      </c>
      <c r="S7" s="11"/>
      <c r="T7" s="76"/>
      <c r="U7" s="56"/>
      <c r="V7" s="56"/>
      <c r="W7" s="56"/>
      <c r="X7" s="56"/>
      <c r="Y7" s="56"/>
      <c r="AA7" s="56"/>
    </row>
    <row r="8" spans="1:30" ht="149.5" x14ac:dyDescent="0.35">
      <c r="A8" s="56"/>
      <c r="B8" s="59" t="s">
        <v>30</v>
      </c>
      <c r="C8" s="12" t="s">
        <v>1</v>
      </c>
      <c r="D8" s="13" t="s">
        <v>24</v>
      </c>
      <c r="E8" s="14" t="s">
        <v>1724</v>
      </c>
      <c r="F8" s="15" t="s">
        <v>1726</v>
      </c>
      <c r="G8" s="15" t="s">
        <v>5</v>
      </c>
      <c r="H8" s="48" t="s">
        <v>265</v>
      </c>
      <c r="I8" s="15" t="s">
        <v>1092</v>
      </c>
      <c r="J8" s="15" t="s">
        <v>1077</v>
      </c>
      <c r="K8" s="15" t="s">
        <v>394</v>
      </c>
      <c r="L8" s="15" t="s">
        <v>2223</v>
      </c>
      <c r="M8" s="10" t="s">
        <v>25</v>
      </c>
      <c r="N8" s="10" t="s">
        <v>1080</v>
      </c>
      <c r="O8" s="10" t="s">
        <v>25</v>
      </c>
      <c r="P8" s="10" t="s">
        <v>26</v>
      </c>
      <c r="Q8" s="11" t="s">
        <v>29</v>
      </c>
      <c r="R8" s="11" t="s">
        <v>29</v>
      </c>
      <c r="S8" s="11"/>
      <c r="T8" s="77"/>
      <c r="U8" s="56"/>
      <c r="V8" s="88" t="s">
        <v>1249</v>
      </c>
      <c r="W8" s="56"/>
      <c r="X8" s="56"/>
      <c r="Y8" s="56"/>
      <c r="AA8" s="56"/>
    </row>
    <row r="9" spans="1:30" ht="145" x14ac:dyDescent="0.35">
      <c r="A9" s="56"/>
      <c r="B9" s="59" t="s">
        <v>30</v>
      </c>
      <c r="C9" s="16" t="s">
        <v>2</v>
      </c>
      <c r="D9" s="17" t="s">
        <v>27</v>
      </c>
      <c r="E9" s="18" t="s">
        <v>28</v>
      </c>
      <c r="F9" s="19" t="s">
        <v>1745</v>
      </c>
      <c r="G9" s="19" t="s">
        <v>5</v>
      </c>
      <c r="H9" s="49" t="s">
        <v>267</v>
      </c>
      <c r="I9" s="19" t="s">
        <v>396</v>
      </c>
      <c r="J9" s="19" t="s">
        <v>395</v>
      </c>
      <c r="K9" s="19" t="s">
        <v>397</v>
      </c>
      <c r="L9" s="19" t="s">
        <v>398</v>
      </c>
      <c r="M9" s="10" t="s">
        <v>258</v>
      </c>
      <c r="N9" s="10" t="s">
        <v>767</v>
      </c>
      <c r="O9" s="10" t="s">
        <v>768</v>
      </c>
      <c r="P9" s="10" t="s">
        <v>258</v>
      </c>
      <c r="Q9" s="11" t="s">
        <v>29</v>
      </c>
      <c r="R9" s="11" t="s">
        <v>29</v>
      </c>
      <c r="S9" s="11"/>
      <c r="T9" s="77"/>
      <c r="U9" s="56"/>
      <c r="V9" s="85" t="s">
        <v>1081</v>
      </c>
      <c r="W9" s="56"/>
      <c r="X9" s="56"/>
      <c r="Y9" s="56"/>
      <c r="AA9" s="56"/>
    </row>
    <row r="10" spans="1:30" ht="69" x14ac:dyDescent="0.35">
      <c r="A10" s="56"/>
      <c r="B10" s="59" t="s">
        <v>30</v>
      </c>
      <c r="C10" s="20" t="s">
        <v>3</v>
      </c>
      <c r="D10" s="21" t="s">
        <v>255</v>
      </c>
      <c r="E10" s="22" t="s">
        <v>1746</v>
      </c>
      <c r="F10" s="23" t="s">
        <v>1747</v>
      </c>
      <c r="G10" s="23" t="s">
        <v>5</v>
      </c>
      <c r="H10" s="50" t="s">
        <v>267</v>
      </c>
      <c r="I10" s="23" t="s">
        <v>400</v>
      </c>
      <c r="J10" s="23" t="s">
        <v>399</v>
      </c>
      <c r="K10" s="23" t="s">
        <v>401</v>
      </c>
      <c r="L10" s="23" t="s">
        <v>402</v>
      </c>
      <c r="M10" s="10" t="s">
        <v>258</v>
      </c>
      <c r="N10" s="10" t="s">
        <v>767</v>
      </c>
      <c r="O10" s="10" t="s">
        <v>768</v>
      </c>
      <c r="P10" s="10" t="s">
        <v>258</v>
      </c>
      <c r="Q10" s="11" t="s">
        <v>29</v>
      </c>
      <c r="R10" s="11" t="s">
        <v>29</v>
      </c>
      <c r="S10" s="11"/>
      <c r="T10" s="78"/>
      <c r="U10" s="56"/>
      <c r="V10" s="56"/>
      <c r="W10" s="56"/>
      <c r="X10" s="56"/>
      <c r="Y10" s="56"/>
      <c r="AA10" s="56"/>
    </row>
    <row r="11" spans="1:30" ht="46" x14ac:dyDescent="0.35">
      <c r="A11" s="56"/>
      <c r="B11" s="59" t="s">
        <v>30</v>
      </c>
      <c r="C11" s="20" t="s">
        <v>3</v>
      </c>
      <c r="D11" s="21" t="s">
        <v>256</v>
      </c>
      <c r="E11" s="22" t="s">
        <v>1748</v>
      </c>
      <c r="F11" s="23" t="s">
        <v>1749</v>
      </c>
      <c r="G11" s="23" t="s">
        <v>5</v>
      </c>
      <c r="H11" s="50" t="s">
        <v>267</v>
      </c>
      <c r="I11" s="23"/>
      <c r="J11" s="23"/>
      <c r="K11" s="23"/>
      <c r="L11" s="23"/>
      <c r="M11" s="10" t="s">
        <v>258</v>
      </c>
      <c r="N11" s="10" t="s">
        <v>767</v>
      </c>
      <c r="O11" s="10" t="s">
        <v>768</v>
      </c>
      <c r="P11" s="10" t="s">
        <v>258</v>
      </c>
      <c r="Q11" s="11" t="s">
        <v>29</v>
      </c>
      <c r="R11" s="11" t="s">
        <v>29</v>
      </c>
      <c r="S11" s="11"/>
      <c r="T11" s="78"/>
      <c r="U11" s="56"/>
      <c r="V11" s="56"/>
      <c r="W11" s="56"/>
      <c r="X11" s="56"/>
      <c r="Y11" s="56"/>
      <c r="AA11" s="56"/>
    </row>
    <row r="12" spans="1:30" ht="103.5" x14ac:dyDescent="0.35">
      <c r="A12" s="56"/>
      <c r="B12" s="59" t="s">
        <v>1750</v>
      </c>
      <c r="C12" s="20" t="s">
        <v>3</v>
      </c>
      <c r="D12" s="21" t="s">
        <v>257</v>
      </c>
      <c r="E12" s="22" t="s">
        <v>1751</v>
      </c>
      <c r="F12" s="23" t="s">
        <v>1752</v>
      </c>
      <c r="G12" s="23" t="s">
        <v>5</v>
      </c>
      <c r="H12" s="50" t="s">
        <v>267</v>
      </c>
      <c r="I12" s="23"/>
      <c r="J12" s="23"/>
      <c r="K12" s="23"/>
      <c r="L12" s="23"/>
      <c r="M12" s="10"/>
      <c r="N12" s="10"/>
      <c r="O12" s="10"/>
      <c r="P12" s="10"/>
      <c r="Q12" s="11" t="s">
        <v>1283</v>
      </c>
      <c r="R12" s="11" t="s">
        <v>29</v>
      </c>
      <c r="S12" s="11" t="s">
        <v>1904</v>
      </c>
      <c r="T12" s="78"/>
      <c r="U12" s="56"/>
      <c r="V12" s="56"/>
      <c r="W12" s="56"/>
      <c r="X12" s="56"/>
      <c r="Y12" s="56"/>
      <c r="AA12" s="56"/>
    </row>
    <row r="13" spans="1:30" ht="57.5" x14ac:dyDescent="0.35">
      <c r="A13" s="56"/>
      <c r="B13" s="59" t="s">
        <v>1750</v>
      </c>
      <c r="C13" s="20" t="s">
        <v>3</v>
      </c>
      <c r="D13" s="21" t="s">
        <v>259</v>
      </c>
      <c r="E13" s="22" t="s">
        <v>1753</v>
      </c>
      <c r="F13" s="23" t="s">
        <v>1893</v>
      </c>
      <c r="G13" s="23" t="s">
        <v>5</v>
      </c>
      <c r="H13" s="50" t="s">
        <v>267</v>
      </c>
      <c r="I13" s="23"/>
      <c r="J13" s="23"/>
      <c r="K13" s="23"/>
      <c r="L13" s="23"/>
      <c r="M13" s="10"/>
      <c r="N13" s="10"/>
      <c r="O13" s="10"/>
      <c r="P13" s="10"/>
      <c r="Q13" s="11" t="s">
        <v>1283</v>
      </c>
      <c r="R13" s="11" t="s">
        <v>29</v>
      </c>
      <c r="S13" s="11" t="s">
        <v>2208</v>
      </c>
      <c r="T13" s="78"/>
      <c r="U13" s="56"/>
      <c r="V13" s="56"/>
      <c r="W13" s="56"/>
      <c r="X13" s="56"/>
      <c r="Y13" s="56"/>
      <c r="AA13" s="56"/>
    </row>
    <row r="14" spans="1:30" ht="80.5" x14ac:dyDescent="0.35">
      <c r="A14" s="56"/>
      <c r="B14" s="59" t="s">
        <v>30</v>
      </c>
      <c r="C14" s="20" t="s">
        <v>3</v>
      </c>
      <c r="D14" s="21" t="s">
        <v>261</v>
      </c>
      <c r="E14" s="22" t="s">
        <v>1974</v>
      </c>
      <c r="F14" s="23" t="s">
        <v>1975</v>
      </c>
      <c r="G14" s="23" t="s">
        <v>5</v>
      </c>
      <c r="H14" s="50" t="s">
        <v>267</v>
      </c>
      <c r="I14" s="23"/>
      <c r="J14" s="23"/>
      <c r="K14" s="23"/>
      <c r="L14" s="23"/>
      <c r="M14" s="10"/>
      <c r="N14" s="10"/>
      <c r="O14" s="10"/>
      <c r="P14" s="10"/>
      <c r="Q14" s="11" t="s">
        <v>1283</v>
      </c>
      <c r="R14" s="11" t="s">
        <v>29</v>
      </c>
      <c r="S14" s="11" t="s">
        <v>1976</v>
      </c>
      <c r="T14" s="78"/>
      <c r="U14" s="56"/>
      <c r="V14" s="56"/>
      <c r="W14" s="56"/>
      <c r="X14" s="56"/>
      <c r="Y14" s="56"/>
      <c r="AA14" s="56"/>
    </row>
    <row r="15" spans="1:30" ht="34.5" x14ac:dyDescent="0.35">
      <c r="A15" s="56"/>
      <c r="B15" s="59" t="s">
        <v>30</v>
      </c>
      <c r="C15" s="20" t="s">
        <v>3</v>
      </c>
      <c r="D15" s="21" t="s">
        <v>1325</v>
      </c>
      <c r="E15" s="45" t="s">
        <v>1755</v>
      </c>
      <c r="F15" s="23" t="s">
        <v>1758</v>
      </c>
      <c r="G15" s="23" t="s">
        <v>5</v>
      </c>
      <c r="H15" s="50" t="s">
        <v>267</v>
      </c>
      <c r="I15" s="23"/>
      <c r="J15" s="23"/>
      <c r="K15" s="23"/>
      <c r="L15" s="23"/>
      <c r="M15" s="10" t="s">
        <v>258</v>
      </c>
      <c r="N15" s="10" t="s">
        <v>767</v>
      </c>
      <c r="O15" s="10" t="s">
        <v>768</v>
      </c>
      <c r="P15" s="10" t="s">
        <v>258</v>
      </c>
      <c r="Q15" s="11" t="s">
        <v>29</v>
      </c>
      <c r="R15" s="11" t="s">
        <v>29</v>
      </c>
      <c r="S15" s="11"/>
      <c r="T15" s="78"/>
      <c r="U15" s="56"/>
      <c r="V15" s="56"/>
      <c r="W15" s="56"/>
      <c r="X15" s="56"/>
      <c r="Y15" s="56"/>
      <c r="AA15" s="56"/>
    </row>
    <row r="16" spans="1:30" ht="69" x14ac:dyDescent="0.35">
      <c r="A16" s="56"/>
      <c r="B16" s="59" t="s">
        <v>308</v>
      </c>
      <c r="C16" s="20" t="s">
        <v>3</v>
      </c>
      <c r="D16" s="21" t="s">
        <v>1754</v>
      </c>
      <c r="E16" s="22" t="s">
        <v>1756</v>
      </c>
      <c r="F16" s="23" t="s">
        <v>1757</v>
      </c>
      <c r="G16" s="23" t="s">
        <v>5</v>
      </c>
      <c r="H16" s="50" t="s">
        <v>267</v>
      </c>
      <c r="I16" s="23" t="s">
        <v>404</v>
      </c>
      <c r="J16" s="23" t="s">
        <v>403</v>
      </c>
      <c r="K16" s="23" t="s">
        <v>405</v>
      </c>
      <c r="L16" s="23" t="s">
        <v>406</v>
      </c>
      <c r="M16" s="10" t="s">
        <v>258</v>
      </c>
      <c r="N16" s="10" t="s">
        <v>767</v>
      </c>
      <c r="O16" s="10" t="s">
        <v>768</v>
      </c>
      <c r="P16" s="10" t="s">
        <v>258</v>
      </c>
      <c r="Q16" s="11" t="s">
        <v>1283</v>
      </c>
      <c r="R16" s="11" t="s">
        <v>1283</v>
      </c>
      <c r="S16" s="11"/>
      <c r="T16" s="78"/>
      <c r="U16" s="56"/>
      <c r="V16" s="56"/>
      <c r="W16" s="56"/>
      <c r="X16" s="56"/>
      <c r="Y16" s="56"/>
      <c r="AA16" s="56"/>
    </row>
    <row r="17" spans="1:29" ht="80.5" x14ac:dyDescent="0.35">
      <c r="A17" s="56"/>
      <c r="B17" s="59" t="s">
        <v>309</v>
      </c>
      <c r="C17" s="20" t="s">
        <v>3</v>
      </c>
      <c r="D17" s="21" t="s">
        <v>1973</v>
      </c>
      <c r="E17" s="22" t="s">
        <v>1759</v>
      </c>
      <c r="F17" s="23" t="s">
        <v>1760</v>
      </c>
      <c r="G17" s="23" t="s">
        <v>5</v>
      </c>
      <c r="H17" s="50" t="s">
        <v>267</v>
      </c>
      <c r="I17" s="23" t="s">
        <v>408</v>
      </c>
      <c r="J17" s="23" t="s">
        <v>407</v>
      </c>
      <c r="K17" s="23" t="s">
        <v>409</v>
      </c>
      <c r="L17" s="23" t="s">
        <v>280</v>
      </c>
      <c r="M17" s="10" t="s">
        <v>26</v>
      </c>
      <c r="N17" s="10" t="s">
        <v>769</v>
      </c>
      <c r="O17" s="10" t="s">
        <v>81</v>
      </c>
      <c r="P17" s="10" t="s">
        <v>770</v>
      </c>
      <c r="Q17" s="11" t="s">
        <v>1283</v>
      </c>
      <c r="R17" s="11" t="s">
        <v>1283</v>
      </c>
      <c r="S17" s="11"/>
      <c r="T17" s="78"/>
      <c r="U17" s="56"/>
      <c r="V17" s="56"/>
      <c r="W17" s="56"/>
      <c r="X17" s="56"/>
      <c r="Y17" s="56"/>
      <c r="AA17" s="56"/>
    </row>
    <row r="18" spans="1:29" ht="92" x14ac:dyDescent="0.35">
      <c r="A18" s="56"/>
      <c r="B18" s="59" t="s">
        <v>1744</v>
      </c>
      <c r="C18" s="16" t="s">
        <v>2</v>
      </c>
      <c r="D18" s="17" t="s">
        <v>32</v>
      </c>
      <c r="E18" s="18" t="s">
        <v>1728</v>
      </c>
      <c r="F18" s="19" t="s">
        <v>1727</v>
      </c>
      <c r="G18" s="19" t="s">
        <v>5</v>
      </c>
      <c r="H18" s="49" t="s">
        <v>265</v>
      </c>
      <c r="I18" s="19" t="s">
        <v>411</v>
      </c>
      <c r="J18" s="19" t="s">
        <v>410</v>
      </c>
      <c r="K18" s="19" t="s">
        <v>412</v>
      </c>
      <c r="L18" s="19" t="s">
        <v>281</v>
      </c>
      <c r="M18" s="10" t="s">
        <v>771</v>
      </c>
      <c r="N18" s="10" t="s">
        <v>106</v>
      </c>
      <c r="O18" s="10" t="s">
        <v>81</v>
      </c>
      <c r="P18" s="10" t="s">
        <v>772</v>
      </c>
      <c r="Q18" s="33" t="s">
        <v>33</v>
      </c>
      <c r="R18" s="33" t="s">
        <v>33</v>
      </c>
      <c r="S18" s="11"/>
      <c r="T18" s="78"/>
      <c r="U18" s="56"/>
      <c r="V18" s="56"/>
      <c r="W18" s="56"/>
      <c r="X18" s="56"/>
      <c r="Y18" s="56"/>
      <c r="AA18" s="56"/>
      <c r="AC18" s="117" t="s">
        <v>1301</v>
      </c>
    </row>
    <row r="19" spans="1:29" ht="69" x14ac:dyDescent="0.35">
      <c r="A19" s="56"/>
      <c r="B19" s="59" t="s">
        <v>311</v>
      </c>
      <c r="C19" s="20" t="s">
        <v>3</v>
      </c>
      <c r="D19" s="21" t="s">
        <v>250</v>
      </c>
      <c r="E19" s="22" t="s">
        <v>1729</v>
      </c>
      <c r="F19" s="23" t="s">
        <v>1730</v>
      </c>
      <c r="G19" s="23" t="s">
        <v>5</v>
      </c>
      <c r="H19" s="50" t="s">
        <v>267</v>
      </c>
      <c r="I19" s="23" t="s">
        <v>414</v>
      </c>
      <c r="J19" s="23" t="s">
        <v>413</v>
      </c>
      <c r="K19" s="23" t="s">
        <v>415</v>
      </c>
      <c r="L19" s="23" t="s">
        <v>282</v>
      </c>
      <c r="M19" s="10" t="s">
        <v>771</v>
      </c>
      <c r="N19" s="10" t="s">
        <v>106</v>
      </c>
      <c r="O19" s="10" t="s">
        <v>81</v>
      </c>
      <c r="P19" s="10" t="s">
        <v>772</v>
      </c>
      <c r="Q19" s="33" t="s">
        <v>33</v>
      </c>
      <c r="R19" s="33" t="s">
        <v>33</v>
      </c>
      <c r="S19" s="11"/>
      <c r="T19" s="78"/>
      <c r="U19" s="56"/>
      <c r="V19" s="56"/>
      <c r="W19" s="56"/>
      <c r="X19" s="56"/>
      <c r="Y19" s="56"/>
      <c r="AA19" s="56"/>
    </row>
    <row r="20" spans="1:29" ht="46" x14ac:dyDescent="0.35">
      <c r="A20" s="56"/>
      <c r="B20" s="59" t="s">
        <v>37</v>
      </c>
      <c r="C20" s="20" t="s">
        <v>3</v>
      </c>
      <c r="D20" s="21" t="s">
        <v>251</v>
      </c>
      <c r="E20" s="22" t="s">
        <v>1731</v>
      </c>
      <c r="F20" s="23" t="s">
        <v>1732</v>
      </c>
      <c r="G20" s="23" t="str">
        <f>"Decision 
If yes, proceed to step "&amp;D21&amp;" 
If no, proceed to "&amp;D25&amp;""</f>
        <v>Decision 
If yes, proceed to step 1.1.2.3 
If no, proceed to 1.1.3</v>
      </c>
      <c r="H20" s="50" t="s">
        <v>267</v>
      </c>
      <c r="I20" s="23"/>
      <c r="J20" s="23"/>
      <c r="K20" s="23"/>
      <c r="L20" s="23"/>
      <c r="M20" s="10" t="s">
        <v>771</v>
      </c>
      <c r="N20" s="10" t="s">
        <v>106</v>
      </c>
      <c r="O20" s="10" t="s">
        <v>81</v>
      </c>
      <c r="P20" s="10" t="s">
        <v>772</v>
      </c>
      <c r="Q20" s="33" t="s">
        <v>33</v>
      </c>
      <c r="R20" s="33" t="s">
        <v>33</v>
      </c>
      <c r="S20" s="11"/>
      <c r="T20" s="78"/>
      <c r="U20" s="56"/>
      <c r="V20" s="56"/>
      <c r="W20" s="56"/>
      <c r="X20" s="56"/>
      <c r="Y20" s="56"/>
      <c r="AA20" s="56"/>
    </row>
    <row r="21" spans="1:29" ht="34.5" x14ac:dyDescent="0.35">
      <c r="A21" s="56"/>
      <c r="B21" s="59" t="s">
        <v>310</v>
      </c>
      <c r="C21" s="20" t="s">
        <v>3</v>
      </c>
      <c r="D21" s="21" t="s">
        <v>252</v>
      </c>
      <c r="E21" s="22" t="s">
        <v>1733</v>
      </c>
      <c r="F21" s="23" t="s">
        <v>1734</v>
      </c>
      <c r="G21" s="23" t="s">
        <v>5</v>
      </c>
      <c r="H21" s="50" t="s">
        <v>265</v>
      </c>
      <c r="I21" s="23"/>
      <c r="J21" s="23"/>
      <c r="K21" s="23"/>
      <c r="L21" s="23"/>
      <c r="M21" s="10" t="s">
        <v>771</v>
      </c>
      <c r="N21" s="10" t="s">
        <v>106</v>
      </c>
      <c r="O21" s="10" t="s">
        <v>81</v>
      </c>
      <c r="P21" s="10" t="s">
        <v>772</v>
      </c>
      <c r="Q21" s="33" t="s">
        <v>33</v>
      </c>
      <c r="R21" s="33" t="s">
        <v>33</v>
      </c>
      <c r="S21" s="11"/>
      <c r="T21" s="78"/>
      <c r="U21" s="56"/>
      <c r="V21" s="56"/>
      <c r="W21" s="56"/>
      <c r="X21" s="56"/>
      <c r="Y21" s="56"/>
      <c r="AA21" s="56"/>
    </row>
    <row r="22" spans="1:29" ht="34.5" x14ac:dyDescent="0.35">
      <c r="A22" s="56"/>
      <c r="B22" s="59" t="s">
        <v>1735</v>
      </c>
      <c r="C22" s="20" t="s">
        <v>3</v>
      </c>
      <c r="D22" s="21" t="s">
        <v>253</v>
      </c>
      <c r="E22" s="22" t="s">
        <v>1736</v>
      </c>
      <c r="F22" s="23" t="s">
        <v>1737</v>
      </c>
      <c r="G22" s="23" t="s">
        <v>5</v>
      </c>
      <c r="H22" s="50" t="s">
        <v>267</v>
      </c>
      <c r="I22" s="23"/>
      <c r="J22" s="23"/>
      <c r="K22" s="23"/>
      <c r="L22" s="23"/>
      <c r="M22" s="10" t="s">
        <v>258</v>
      </c>
      <c r="N22" s="10" t="s">
        <v>258</v>
      </c>
      <c r="O22" s="10" t="s">
        <v>258</v>
      </c>
      <c r="P22" s="10" t="s">
        <v>258</v>
      </c>
      <c r="Q22" s="11" t="s">
        <v>1283</v>
      </c>
      <c r="R22" s="11" t="s">
        <v>1283</v>
      </c>
      <c r="S22" s="11" t="s">
        <v>29</v>
      </c>
      <c r="T22" s="78"/>
      <c r="U22" s="56"/>
      <c r="V22" s="56"/>
      <c r="W22" s="56"/>
      <c r="X22" s="56"/>
      <c r="Y22" s="56"/>
      <c r="AA22" s="56"/>
    </row>
    <row r="23" spans="1:29" ht="34.5" x14ac:dyDescent="0.35">
      <c r="A23" s="56"/>
      <c r="B23" s="59" t="s">
        <v>37</v>
      </c>
      <c r="C23" s="20" t="s">
        <v>3</v>
      </c>
      <c r="D23" s="21" t="s">
        <v>254</v>
      </c>
      <c r="E23" s="22" t="s">
        <v>1739</v>
      </c>
      <c r="F23" s="23" t="s">
        <v>1738</v>
      </c>
      <c r="G23" s="23" t="s">
        <v>5</v>
      </c>
      <c r="H23" s="50" t="s">
        <v>267</v>
      </c>
      <c r="I23" s="23"/>
      <c r="J23" s="23"/>
      <c r="K23" s="23"/>
      <c r="L23" s="23"/>
      <c r="M23" s="10" t="s">
        <v>771</v>
      </c>
      <c r="N23" s="10" t="s">
        <v>69</v>
      </c>
      <c r="O23" s="10" t="s">
        <v>81</v>
      </c>
      <c r="P23" s="10" t="s">
        <v>772</v>
      </c>
      <c r="Q23" s="33" t="s">
        <v>33</v>
      </c>
      <c r="R23" s="33" t="s">
        <v>33</v>
      </c>
      <c r="S23" s="11"/>
      <c r="T23" s="78"/>
      <c r="U23" s="56"/>
      <c r="V23" s="56"/>
      <c r="W23" s="56"/>
      <c r="X23" s="56"/>
      <c r="Y23" s="56"/>
      <c r="AA23" s="56"/>
    </row>
    <row r="24" spans="1:29" ht="34.5" x14ac:dyDescent="0.35">
      <c r="A24" s="56"/>
      <c r="B24" s="59" t="s">
        <v>1741</v>
      </c>
      <c r="C24" s="20" t="s">
        <v>3</v>
      </c>
      <c r="D24" s="21" t="s">
        <v>262</v>
      </c>
      <c r="E24" s="22" t="s">
        <v>1740</v>
      </c>
      <c r="F24" s="23" t="s">
        <v>1743</v>
      </c>
      <c r="G24" s="23" t="s">
        <v>5</v>
      </c>
      <c r="H24" s="50" t="s">
        <v>265</v>
      </c>
      <c r="I24" s="23"/>
      <c r="J24" s="23"/>
      <c r="K24" s="23"/>
      <c r="L24" s="23"/>
      <c r="M24" s="10" t="s">
        <v>771</v>
      </c>
      <c r="N24" s="10" t="s">
        <v>69</v>
      </c>
      <c r="O24" s="10" t="s">
        <v>81</v>
      </c>
      <c r="P24" s="10" t="s">
        <v>772</v>
      </c>
      <c r="Q24" s="11" t="s">
        <v>1742</v>
      </c>
      <c r="R24" s="33" t="s">
        <v>33</v>
      </c>
      <c r="S24" s="11"/>
      <c r="T24" s="78"/>
      <c r="U24" s="56"/>
      <c r="V24" s="56"/>
      <c r="W24" s="56"/>
      <c r="X24" s="56"/>
      <c r="Y24" s="56"/>
      <c r="AA24" s="56"/>
    </row>
    <row r="25" spans="1:29" ht="58" x14ac:dyDescent="0.35">
      <c r="A25" s="56"/>
      <c r="B25" s="59" t="s">
        <v>312</v>
      </c>
      <c r="C25" s="16" t="s">
        <v>2</v>
      </c>
      <c r="D25" s="17" t="s">
        <v>34</v>
      </c>
      <c r="E25" s="18" t="s">
        <v>35</v>
      </c>
      <c r="F25" s="19" t="s">
        <v>1762</v>
      </c>
      <c r="G25" s="19" t="s">
        <v>5</v>
      </c>
      <c r="H25" s="49" t="s">
        <v>265</v>
      </c>
      <c r="I25" s="19" t="s">
        <v>417</v>
      </c>
      <c r="J25" s="19" t="s">
        <v>416</v>
      </c>
      <c r="K25" s="19" t="s">
        <v>418</v>
      </c>
      <c r="L25" s="19" t="s">
        <v>419</v>
      </c>
      <c r="M25" s="10"/>
      <c r="N25" s="10"/>
      <c r="O25" s="10"/>
      <c r="P25" s="10"/>
      <c r="Q25" s="11" t="s">
        <v>36</v>
      </c>
      <c r="R25" s="11" t="s">
        <v>36</v>
      </c>
      <c r="S25" s="33"/>
      <c r="T25" s="78"/>
      <c r="U25" s="99" t="s">
        <v>1293</v>
      </c>
      <c r="V25" s="56"/>
      <c r="W25" s="56"/>
      <c r="X25" s="56"/>
      <c r="Y25" s="56"/>
      <c r="AA25" s="56"/>
      <c r="AC25" s="117" t="s">
        <v>1302</v>
      </c>
    </row>
    <row r="26" spans="1:29" ht="46" x14ac:dyDescent="0.35">
      <c r="A26" s="56"/>
      <c r="B26" s="59" t="s">
        <v>1761</v>
      </c>
      <c r="C26" s="20" t="s">
        <v>3</v>
      </c>
      <c r="D26" s="21" t="s">
        <v>268</v>
      </c>
      <c r="E26" s="22" t="s">
        <v>269</v>
      </c>
      <c r="F26" s="23" t="s">
        <v>1763</v>
      </c>
      <c r="G26" s="23" t="s">
        <v>5</v>
      </c>
      <c r="H26" s="50" t="s">
        <v>267</v>
      </c>
      <c r="I26" s="23"/>
      <c r="J26" s="23"/>
      <c r="K26" s="23"/>
      <c r="L26" s="23"/>
      <c r="M26" s="10"/>
      <c r="N26" s="10"/>
      <c r="O26" s="10"/>
      <c r="P26" s="10"/>
      <c r="Q26" s="11" t="s">
        <v>36</v>
      </c>
      <c r="R26" s="11" t="s">
        <v>36</v>
      </c>
      <c r="S26" s="11"/>
      <c r="T26" s="78"/>
      <c r="U26" s="99" t="s">
        <v>836</v>
      </c>
      <c r="V26" s="56"/>
      <c r="W26" s="56"/>
      <c r="X26" s="56"/>
      <c r="Y26" s="56"/>
      <c r="AA26" s="56"/>
    </row>
    <row r="27" spans="1:29" ht="57.5" x14ac:dyDescent="0.35">
      <c r="A27" s="56"/>
      <c r="B27" s="59" t="s">
        <v>1761</v>
      </c>
      <c r="C27" s="20" t="s">
        <v>3</v>
      </c>
      <c r="D27" s="21" t="s">
        <v>270</v>
      </c>
      <c r="E27" s="22" t="s">
        <v>271</v>
      </c>
      <c r="F27" s="23" t="s">
        <v>1764</v>
      </c>
      <c r="G27" s="23" t="s">
        <v>5</v>
      </c>
      <c r="H27" s="50" t="s">
        <v>267</v>
      </c>
      <c r="I27" s="23"/>
      <c r="J27" s="23"/>
      <c r="K27" s="23"/>
      <c r="L27" s="23"/>
      <c r="M27" s="10"/>
      <c r="N27" s="10"/>
      <c r="O27" s="10"/>
      <c r="P27" s="10"/>
      <c r="Q27" s="11" t="s">
        <v>36</v>
      </c>
      <c r="R27" s="11" t="s">
        <v>36</v>
      </c>
      <c r="S27" s="11"/>
      <c r="T27" s="77"/>
      <c r="U27" s="99" t="s">
        <v>836</v>
      </c>
      <c r="V27" s="56"/>
      <c r="W27" s="56"/>
      <c r="X27" s="56"/>
      <c r="Y27" s="56"/>
      <c r="AA27" s="56"/>
    </row>
    <row r="28" spans="1:29" ht="34.5" x14ac:dyDescent="0.35">
      <c r="A28" s="56"/>
      <c r="B28" s="59" t="s">
        <v>2090</v>
      </c>
      <c r="C28" s="20" t="s">
        <v>3</v>
      </c>
      <c r="D28" s="21" t="s">
        <v>272</v>
      </c>
      <c r="E28" s="22" t="s">
        <v>275</v>
      </c>
      <c r="F28" s="23" t="s">
        <v>1765</v>
      </c>
      <c r="G28" s="23" t="s">
        <v>5</v>
      </c>
      <c r="H28" s="50" t="s">
        <v>265</v>
      </c>
      <c r="I28" s="23"/>
      <c r="J28" s="23"/>
      <c r="K28" s="23"/>
      <c r="L28" s="23"/>
      <c r="M28" s="10"/>
      <c r="N28" s="10"/>
      <c r="O28" s="10"/>
      <c r="P28" s="10"/>
      <c r="Q28" s="11" t="s">
        <v>36</v>
      </c>
      <c r="R28" s="11" t="s">
        <v>36</v>
      </c>
      <c r="S28" s="11"/>
      <c r="T28" s="77"/>
      <c r="U28" s="99" t="s">
        <v>836</v>
      </c>
      <c r="V28" s="56"/>
      <c r="W28" s="56"/>
      <c r="X28" s="56"/>
      <c r="Y28" s="56"/>
      <c r="AA28" s="56"/>
    </row>
    <row r="29" spans="1:29" ht="57.5" x14ac:dyDescent="0.35">
      <c r="A29" s="56"/>
      <c r="B29" s="59" t="s">
        <v>2090</v>
      </c>
      <c r="C29" s="20" t="s">
        <v>3</v>
      </c>
      <c r="D29" s="21" t="s">
        <v>273</v>
      </c>
      <c r="E29" s="22" t="s">
        <v>276</v>
      </c>
      <c r="F29" s="23" t="s">
        <v>1766</v>
      </c>
      <c r="G29" s="23" t="s">
        <v>5</v>
      </c>
      <c r="H29" s="50" t="s">
        <v>265</v>
      </c>
      <c r="I29" s="23"/>
      <c r="J29" s="23"/>
      <c r="K29" s="23"/>
      <c r="L29" s="23"/>
      <c r="M29" s="10"/>
      <c r="N29" s="10"/>
      <c r="O29" s="10"/>
      <c r="P29" s="10"/>
      <c r="Q29" s="11" t="s">
        <v>36</v>
      </c>
      <c r="R29" s="11" t="s">
        <v>36</v>
      </c>
      <c r="S29" s="11"/>
      <c r="T29" s="77"/>
      <c r="U29" s="99" t="s">
        <v>836</v>
      </c>
      <c r="V29" s="56"/>
      <c r="W29" s="56"/>
      <c r="X29" s="56"/>
      <c r="Y29" s="56"/>
      <c r="AA29" s="56"/>
    </row>
    <row r="30" spans="1:29" ht="46" x14ac:dyDescent="0.35">
      <c r="A30" s="56"/>
      <c r="B30" s="59" t="s">
        <v>2090</v>
      </c>
      <c r="C30" s="20" t="s">
        <v>3</v>
      </c>
      <c r="D30" s="21" t="s">
        <v>274</v>
      </c>
      <c r="E30" s="22" t="s">
        <v>1966</v>
      </c>
      <c r="F30" s="23" t="s">
        <v>1969</v>
      </c>
      <c r="G30" s="23" t="s">
        <v>5</v>
      </c>
      <c r="H30" s="50" t="s">
        <v>265</v>
      </c>
      <c r="I30" s="23"/>
      <c r="J30" s="23"/>
      <c r="K30" s="23"/>
      <c r="L30" s="23"/>
      <c r="M30" s="10"/>
      <c r="N30" s="10"/>
      <c r="O30" s="10"/>
      <c r="P30" s="10"/>
      <c r="Q30" s="11" t="s">
        <v>36</v>
      </c>
      <c r="R30" s="11" t="s">
        <v>36</v>
      </c>
      <c r="S30" s="11"/>
      <c r="T30" s="77"/>
      <c r="U30" s="99"/>
      <c r="V30" s="56"/>
      <c r="W30" s="56"/>
      <c r="X30" s="56"/>
      <c r="Y30" s="56"/>
      <c r="AA30" s="56"/>
    </row>
    <row r="31" spans="1:29" ht="34.5" x14ac:dyDescent="0.35">
      <c r="A31" s="56"/>
      <c r="B31" s="59" t="s">
        <v>37</v>
      </c>
      <c r="C31" s="20" t="s">
        <v>3</v>
      </c>
      <c r="D31" s="21" t="s">
        <v>278</v>
      </c>
      <c r="E31" s="22" t="s">
        <v>277</v>
      </c>
      <c r="F31" s="23" t="s">
        <v>1965</v>
      </c>
      <c r="G31" s="23" t="s">
        <v>5</v>
      </c>
      <c r="H31" s="50" t="s">
        <v>264</v>
      </c>
      <c r="I31" s="23"/>
      <c r="J31" s="23"/>
      <c r="K31" s="23"/>
      <c r="L31" s="23"/>
      <c r="M31" s="10"/>
      <c r="N31" s="10"/>
      <c r="O31" s="10"/>
      <c r="P31" s="10"/>
      <c r="Q31" s="11" t="s">
        <v>1972</v>
      </c>
      <c r="R31" s="11" t="s">
        <v>36</v>
      </c>
      <c r="S31" s="11"/>
      <c r="T31" s="78"/>
      <c r="U31" s="99" t="s">
        <v>836</v>
      </c>
      <c r="V31" s="56"/>
      <c r="W31" s="56"/>
      <c r="X31" s="56"/>
      <c r="Y31" s="56"/>
      <c r="AA31" s="56"/>
    </row>
    <row r="32" spans="1:29" ht="34.5" x14ac:dyDescent="0.35">
      <c r="A32" s="56"/>
      <c r="B32" s="59" t="s">
        <v>2090</v>
      </c>
      <c r="C32" s="20" t="s">
        <v>3</v>
      </c>
      <c r="D32" s="21" t="s">
        <v>1967</v>
      </c>
      <c r="E32" s="22" t="s">
        <v>279</v>
      </c>
      <c r="F32" s="23" t="s">
        <v>1767</v>
      </c>
      <c r="G32" s="23" t="s">
        <v>5</v>
      </c>
      <c r="H32" s="50" t="s">
        <v>264</v>
      </c>
      <c r="I32" s="23"/>
      <c r="J32" s="23"/>
      <c r="K32" s="23"/>
      <c r="L32" s="23"/>
      <c r="M32" s="10"/>
      <c r="N32" s="10"/>
      <c r="O32" s="10"/>
      <c r="P32" s="10"/>
      <c r="Q32" s="11" t="s">
        <v>1972</v>
      </c>
      <c r="R32" s="11" t="s">
        <v>36</v>
      </c>
      <c r="S32" s="11"/>
      <c r="T32" s="79"/>
      <c r="U32" s="99" t="s">
        <v>836</v>
      </c>
      <c r="V32" s="56"/>
      <c r="W32" s="56"/>
      <c r="X32" s="56"/>
      <c r="Y32" s="56"/>
      <c r="AA32" s="56"/>
    </row>
    <row r="33" spans="1:29" ht="57.5" x14ac:dyDescent="0.35">
      <c r="A33" s="56"/>
      <c r="B33" s="59" t="s">
        <v>37</v>
      </c>
      <c r="C33" s="20" t="s">
        <v>3</v>
      </c>
      <c r="D33" s="21" t="s">
        <v>1968</v>
      </c>
      <c r="E33" s="22" t="s">
        <v>1970</v>
      </c>
      <c r="F33" s="23" t="s">
        <v>1971</v>
      </c>
      <c r="G33" s="23" t="s">
        <v>5</v>
      </c>
      <c r="H33" s="50" t="s">
        <v>265</v>
      </c>
      <c r="I33" s="23"/>
      <c r="J33" s="23"/>
      <c r="K33" s="23"/>
      <c r="L33" s="23"/>
      <c r="M33" s="10"/>
      <c r="N33" s="10"/>
      <c r="O33" s="10"/>
      <c r="P33" s="10"/>
      <c r="Q33" s="11" t="s">
        <v>36</v>
      </c>
      <c r="R33" s="11" t="s">
        <v>36</v>
      </c>
      <c r="S33" s="11"/>
      <c r="T33" s="79"/>
      <c r="U33" s="99"/>
      <c r="V33" s="56"/>
      <c r="W33" s="56"/>
      <c r="X33" s="56"/>
      <c r="Y33" s="56"/>
      <c r="AA33" s="56"/>
    </row>
    <row r="34" spans="1:29" ht="57.5" x14ac:dyDescent="0.35">
      <c r="A34" s="56"/>
      <c r="B34" s="59" t="s">
        <v>30</v>
      </c>
      <c r="C34" s="16" t="s">
        <v>2</v>
      </c>
      <c r="D34" s="17" t="s">
        <v>38</v>
      </c>
      <c r="E34" s="18" t="s">
        <v>1344</v>
      </c>
      <c r="F34" s="52" t="s">
        <v>1768</v>
      </c>
      <c r="G34" s="19" t="s">
        <v>5</v>
      </c>
      <c r="H34" s="49" t="s">
        <v>267</v>
      </c>
      <c r="I34" s="52"/>
      <c r="J34" s="52"/>
      <c r="K34" s="52"/>
      <c r="L34" s="52"/>
      <c r="M34" s="10"/>
      <c r="N34" s="10"/>
      <c r="O34" s="10"/>
      <c r="P34" s="10"/>
      <c r="Q34" s="11" t="s">
        <v>1285</v>
      </c>
      <c r="R34" s="11" t="s">
        <v>29</v>
      </c>
      <c r="S34" s="11" t="s">
        <v>1283</v>
      </c>
      <c r="T34" s="78"/>
      <c r="U34" s="56"/>
      <c r="V34" s="88"/>
      <c r="W34" s="56"/>
      <c r="X34" s="56"/>
      <c r="Y34" s="56"/>
      <c r="AA34" s="56"/>
    </row>
    <row r="35" spans="1:29" ht="46" x14ac:dyDescent="0.35">
      <c r="A35" s="56"/>
      <c r="B35" s="59" t="s">
        <v>1342</v>
      </c>
      <c r="C35" s="20" t="s">
        <v>3</v>
      </c>
      <c r="D35" s="21" t="s">
        <v>42</v>
      </c>
      <c r="E35" s="22" t="s">
        <v>1769</v>
      </c>
      <c r="F35" s="23" t="s">
        <v>1770</v>
      </c>
      <c r="G35" s="23" t="str">
        <f>"Decision 
If yes, proceed to step "&amp;D36&amp;" 
If no, proceed to "&amp;D41&amp;""</f>
        <v>Decision 
If yes, proceed to step 1.1.4.2 
If no, proceed to 1.1.5</v>
      </c>
      <c r="H35" s="50" t="s">
        <v>267</v>
      </c>
      <c r="I35" s="23"/>
      <c r="J35" s="23"/>
      <c r="K35" s="23"/>
      <c r="L35" s="23"/>
      <c r="M35" s="10"/>
      <c r="N35" s="10"/>
      <c r="O35" s="10"/>
      <c r="P35" s="10"/>
      <c r="Q35" s="11" t="s">
        <v>1285</v>
      </c>
      <c r="R35" s="11" t="s">
        <v>29</v>
      </c>
      <c r="S35" s="11" t="s">
        <v>1283</v>
      </c>
      <c r="T35" s="79"/>
      <c r="U35" s="99"/>
      <c r="V35" s="56"/>
      <c r="W35" s="56"/>
      <c r="X35" s="56"/>
      <c r="Y35" s="56"/>
      <c r="AA35" s="56"/>
    </row>
    <row r="36" spans="1:29" ht="103.5" x14ac:dyDescent="0.35">
      <c r="A36" s="56"/>
      <c r="B36" s="59" t="s">
        <v>30</v>
      </c>
      <c r="C36" s="20" t="s">
        <v>3</v>
      </c>
      <c r="D36" s="21" t="s">
        <v>44</v>
      </c>
      <c r="E36" s="22" t="s">
        <v>1343</v>
      </c>
      <c r="F36" s="23" t="s">
        <v>1773</v>
      </c>
      <c r="G36" s="23" t="s">
        <v>5</v>
      </c>
      <c r="H36" s="50" t="s">
        <v>267</v>
      </c>
      <c r="I36" s="23"/>
      <c r="J36" s="23"/>
      <c r="K36" s="23"/>
      <c r="L36" s="23"/>
      <c r="M36" s="10"/>
      <c r="N36" s="10"/>
      <c r="O36" s="10"/>
      <c r="P36" s="10"/>
      <c r="Q36" s="11" t="s">
        <v>1285</v>
      </c>
      <c r="R36" s="11" t="s">
        <v>29</v>
      </c>
      <c r="S36" s="11" t="s">
        <v>1283</v>
      </c>
      <c r="T36" s="79"/>
      <c r="U36" s="99"/>
      <c r="V36" s="56"/>
      <c r="W36" s="56"/>
      <c r="X36" s="56"/>
      <c r="Y36" s="56"/>
      <c r="AA36" s="56"/>
    </row>
    <row r="37" spans="1:29" ht="23" x14ac:dyDescent="0.35">
      <c r="A37" s="56"/>
      <c r="B37" s="59" t="s">
        <v>1342</v>
      </c>
      <c r="C37" s="20" t="s">
        <v>3</v>
      </c>
      <c r="D37" s="21" t="s">
        <v>46</v>
      </c>
      <c r="E37" s="22" t="s">
        <v>1363</v>
      </c>
      <c r="F37" s="23" t="s">
        <v>1771</v>
      </c>
      <c r="G37" s="23" t="s">
        <v>5</v>
      </c>
      <c r="H37" s="50" t="s">
        <v>267</v>
      </c>
      <c r="I37" s="23"/>
      <c r="J37" s="23"/>
      <c r="K37" s="23"/>
      <c r="L37" s="23"/>
      <c r="M37" s="10"/>
      <c r="N37" s="10"/>
      <c r="O37" s="10"/>
      <c r="P37" s="10"/>
      <c r="Q37" s="11" t="s">
        <v>1285</v>
      </c>
      <c r="R37" s="11" t="s">
        <v>29</v>
      </c>
      <c r="S37" s="11" t="s">
        <v>1283</v>
      </c>
      <c r="T37" s="79"/>
      <c r="U37" s="99"/>
      <c r="V37" s="56"/>
      <c r="W37" s="56"/>
      <c r="X37" s="56"/>
      <c r="Y37" s="56"/>
      <c r="AA37" s="56"/>
    </row>
    <row r="38" spans="1:29" ht="57.5" x14ac:dyDescent="0.35">
      <c r="A38" s="56"/>
      <c r="B38" s="59" t="s">
        <v>1342</v>
      </c>
      <c r="C38" s="20" t="s">
        <v>3</v>
      </c>
      <c r="D38" s="21" t="s">
        <v>48</v>
      </c>
      <c r="E38" s="22" t="s">
        <v>1361</v>
      </c>
      <c r="F38" s="23" t="s">
        <v>1362</v>
      </c>
      <c r="G38" s="23" t="s">
        <v>5</v>
      </c>
      <c r="H38" s="50" t="s">
        <v>267</v>
      </c>
      <c r="I38" s="23"/>
      <c r="J38" s="23"/>
      <c r="K38" s="23"/>
      <c r="L38" s="23"/>
      <c r="M38" s="10"/>
      <c r="N38" s="10"/>
      <c r="O38" s="10"/>
      <c r="P38" s="10"/>
      <c r="Q38" s="11" t="s">
        <v>1285</v>
      </c>
      <c r="R38" s="11" t="s">
        <v>29</v>
      </c>
      <c r="S38" s="11" t="s">
        <v>1283</v>
      </c>
      <c r="T38" s="79"/>
      <c r="U38" s="99"/>
      <c r="V38" s="56"/>
      <c r="W38" s="56"/>
      <c r="X38" s="56"/>
      <c r="Y38" s="56"/>
      <c r="AA38" s="56"/>
    </row>
    <row r="39" spans="1:29" ht="34.5" x14ac:dyDescent="0.35">
      <c r="A39" s="56"/>
      <c r="B39" s="59" t="s">
        <v>1342</v>
      </c>
      <c r="C39" s="20" t="s">
        <v>3</v>
      </c>
      <c r="D39" s="21" t="s">
        <v>49</v>
      </c>
      <c r="E39" s="22" t="s">
        <v>1364</v>
      </c>
      <c r="F39" s="23" t="s">
        <v>1772</v>
      </c>
      <c r="G39" s="23" t="s">
        <v>5</v>
      </c>
      <c r="H39" s="50" t="s">
        <v>267</v>
      </c>
      <c r="I39" s="23"/>
      <c r="J39" s="23"/>
      <c r="K39" s="23"/>
      <c r="L39" s="23"/>
      <c r="M39" s="10"/>
      <c r="N39" s="10"/>
      <c r="O39" s="10"/>
      <c r="P39" s="10"/>
      <c r="Q39" s="11" t="s">
        <v>1285</v>
      </c>
      <c r="R39" s="11" t="s">
        <v>29</v>
      </c>
      <c r="S39" s="11" t="s">
        <v>1283</v>
      </c>
      <c r="T39" s="79"/>
      <c r="U39" s="99"/>
      <c r="V39" s="56"/>
      <c r="W39" s="56"/>
      <c r="X39" s="56"/>
      <c r="Y39" s="56"/>
      <c r="AA39" s="56"/>
    </row>
    <row r="40" spans="1:29" ht="46" x14ac:dyDescent="0.35">
      <c r="A40" s="56"/>
      <c r="B40" s="59" t="s">
        <v>1342</v>
      </c>
      <c r="C40" s="20" t="s">
        <v>3</v>
      </c>
      <c r="D40" s="21" t="s">
        <v>51</v>
      </c>
      <c r="E40" s="22" t="s">
        <v>1365</v>
      </c>
      <c r="F40" s="23" t="s">
        <v>1366</v>
      </c>
      <c r="G40" s="23" t="s">
        <v>5</v>
      </c>
      <c r="H40" s="50" t="s">
        <v>267</v>
      </c>
      <c r="I40" s="23"/>
      <c r="J40" s="23"/>
      <c r="K40" s="23"/>
      <c r="L40" s="23"/>
      <c r="M40" s="10"/>
      <c r="N40" s="10"/>
      <c r="O40" s="10"/>
      <c r="P40" s="10"/>
      <c r="Q40" s="11" t="s">
        <v>1285</v>
      </c>
      <c r="R40" s="11" t="s">
        <v>29</v>
      </c>
      <c r="S40" s="11" t="s">
        <v>1283</v>
      </c>
      <c r="T40" s="79"/>
      <c r="U40" s="99"/>
      <c r="V40" s="56"/>
      <c r="W40" s="56"/>
      <c r="X40" s="56"/>
      <c r="Y40" s="56"/>
      <c r="AA40" s="56"/>
    </row>
    <row r="41" spans="1:29" ht="69" x14ac:dyDescent="0.35">
      <c r="A41" s="56"/>
      <c r="B41" s="59" t="s">
        <v>1812</v>
      </c>
      <c r="C41" s="16" t="s">
        <v>2</v>
      </c>
      <c r="D41" s="17" t="s">
        <v>1345</v>
      </c>
      <c r="E41" s="18" t="s">
        <v>39</v>
      </c>
      <c r="F41" s="52" t="s">
        <v>1774</v>
      </c>
      <c r="G41" s="19" t="s">
        <v>5</v>
      </c>
      <c r="H41" s="49" t="s">
        <v>265</v>
      </c>
      <c r="I41" s="52" t="s">
        <v>1096</v>
      </c>
      <c r="J41" s="52" t="s">
        <v>1078</v>
      </c>
      <c r="K41" s="52" t="s">
        <v>420</v>
      </c>
      <c r="L41" s="52" t="s">
        <v>421</v>
      </c>
      <c r="M41" s="10" t="s">
        <v>773</v>
      </c>
      <c r="N41" s="10" t="s">
        <v>774</v>
      </c>
      <c r="O41" s="10" t="s">
        <v>775</v>
      </c>
      <c r="P41" s="10" t="s">
        <v>258</v>
      </c>
      <c r="Q41" s="11" t="s">
        <v>1285</v>
      </c>
      <c r="R41" s="11" t="s">
        <v>29</v>
      </c>
      <c r="S41" s="11"/>
      <c r="T41" s="78"/>
      <c r="U41" s="56"/>
      <c r="V41" s="88" t="s">
        <v>1082</v>
      </c>
      <c r="W41" s="56"/>
      <c r="X41" s="56"/>
      <c r="Y41" s="56"/>
      <c r="AA41" s="56"/>
    </row>
    <row r="42" spans="1:29" ht="57.5" x14ac:dyDescent="0.35">
      <c r="A42" s="56"/>
      <c r="B42" s="59" t="s">
        <v>41</v>
      </c>
      <c r="C42" s="20" t="s">
        <v>3</v>
      </c>
      <c r="D42" s="21" t="s">
        <v>1346</v>
      </c>
      <c r="E42" s="22" t="s">
        <v>285</v>
      </c>
      <c r="F42" s="23" t="s">
        <v>286</v>
      </c>
      <c r="G42" s="105" t="str">
        <f>"Decision 
If yes, proceed to step "&amp;D50&amp;" 
If no, proceed to "&amp;D43&amp;""</f>
        <v>Decision 
If yes, proceed to step 1.1.5.9 
If no, proceed to 1.1.5.2</v>
      </c>
      <c r="H42" s="50" t="s">
        <v>267</v>
      </c>
      <c r="I42" s="23"/>
      <c r="J42" s="23"/>
      <c r="K42" s="23"/>
      <c r="L42" s="29"/>
      <c r="M42" s="10" t="s">
        <v>258</v>
      </c>
      <c r="N42" s="10" t="s">
        <v>774</v>
      </c>
      <c r="O42" s="10" t="s">
        <v>258</v>
      </c>
      <c r="P42" s="10" t="s">
        <v>258</v>
      </c>
      <c r="Q42" s="11" t="s">
        <v>1285</v>
      </c>
      <c r="R42" s="11" t="s">
        <v>29</v>
      </c>
      <c r="S42" s="11"/>
      <c r="T42" s="77"/>
      <c r="U42" s="56"/>
      <c r="V42" s="56"/>
      <c r="W42" s="56"/>
      <c r="X42" s="56"/>
      <c r="Y42" s="56"/>
      <c r="AA42" s="56"/>
    </row>
    <row r="43" spans="1:29" ht="23" x14ac:dyDescent="0.35">
      <c r="A43" s="56"/>
      <c r="B43" s="59" t="s">
        <v>41</v>
      </c>
      <c r="C43" s="20" t="s">
        <v>3</v>
      </c>
      <c r="D43" s="21" t="s">
        <v>1347</v>
      </c>
      <c r="E43" s="22" t="s">
        <v>43</v>
      </c>
      <c r="F43" s="23" t="s">
        <v>1775</v>
      </c>
      <c r="G43" s="23" t="s">
        <v>5</v>
      </c>
      <c r="H43" s="50" t="s">
        <v>267</v>
      </c>
      <c r="I43" s="23"/>
      <c r="J43" s="23"/>
      <c r="K43" s="23"/>
      <c r="L43" s="29"/>
      <c r="M43" s="10" t="s">
        <v>773</v>
      </c>
      <c r="N43" s="10" t="s">
        <v>774</v>
      </c>
      <c r="O43" s="10" t="s">
        <v>775</v>
      </c>
      <c r="P43" s="10" t="s">
        <v>258</v>
      </c>
      <c r="Q43" s="11" t="s">
        <v>1285</v>
      </c>
      <c r="R43" s="11" t="s">
        <v>29</v>
      </c>
      <c r="S43" s="11"/>
      <c r="T43" s="77"/>
      <c r="U43" s="56"/>
      <c r="V43" s="56"/>
      <c r="W43" s="56"/>
      <c r="X43" s="56"/>
      <c r="Y43" s="56"/>
      <c r="AA43" s="56"/>
    </row>
    <row r="44" spans="1:29" ht="80.5" x14ac:dyDescent="0.35">
      <c r="A44" s="56"/>
      <c r="B44" s="59" t="s">
        <v>41</v>
      </c>
      <c r="C44" s="20" t="s">
        <v>3</v>
      </c>
      <c r="D44" s="21" t="s">
        <v>1348</v>
      </c>
      <c r="E44" s="22" t="s">
        <v>1777</v>
      </c>
      <c r="F44" s="23" t="s">
        <v>1778</v>
      </c>
      <c r="G44" s="23" t="s">
        <v>5</v>
      </c>
      <c r="H44" s="50" t="s">
        <v>267</v>
      </c>
      <c r="I44" s="23"/>
      <c r="J44" s="23"/>
      <c r="K44" s="23"/>
      <c r="L44" s="29"/>
      <c r="M44" s="10"/>
      <c r="N44" s="10"/>
      <c r="O44" s="10"/>
      <c r="P44" s="10"/>
      <c r="Q44" s="11" t="s">
        <v>1285</v>
      </c>
      <c r="R44" s="11" t="s">
        <v>29</v>
      </c>
      <c r="S44" s="11" t="s">
        <v>1283</v>
      </c>
      <c r="T44" s="77"/>
      <c r="U44" s="56"/>
      <c r="V44" s="56"/>
      <c r="W44" s="56"/>
      <c r="X44" s="56"/>
      <c r="Y44" s="56"/>
      <c r="AA44" s="56"/>
      <c r="AC44" s="117" t="s">
        <v>1309</v>
      </c>
    </row>
    <row r="45" spans="1:29" ht="46" x14ac:dyDescent="0.35">
      <c r="A45" s="56"/>
      <c r="B45" s="59" t="s">
        <v>41</v>
      </c>
      <c r="C45" s="20" t="s">
        <v>3</v>
      </c>
      <c r="D45" s="21" t="s">
        <v>1349</v>
      </c>
      <c r="E45" s="22" t="s">
        <v>1779</v>
      </c>
      <c r="F45" s="23" t="s">
        <v>1788</v>
      </c>
      <c r="G45" s="23" t="s">
        <v>5</v>
      </c>
      <c r="H45" s="50" t="s">
        <v>267</v>
      </c>
      <c r="I45" s="23"/>
      <c r="J45" s="23"/>
      <c r="K45" s="23"/>
      <c r="L45" s="29"/>
      <c r="M45" s="10"/>
      <c r="N45" s="10"/>
      <c r="O45" s="10"/>
      <c r="P45" s="10"/>
      <c r="Q45" s="11" t="s">
        <v>1285</v>
      </c>
      <c r="R45" s="11" t="s">
        <v>29</v>
      </c>
      <c r="S45" s="11" t="s">
        <v>1283</v>
      </c>
      <c r="T45" s="77"/>
      <c r="U45" s="56"/>
      <c r="V45" s="56"/>
      <c r="W45" s="56"/>
      <c r="X45" s="56"/>
      <c r="Y45" s="56"/>
      <c r="AA45" s="56"/>
    </row>
    <row r="46" spans="1:29" ht="46" x14ac:dyDescent="0.35">
      <c r="A46" s="56"/>
      <c r="B46" s="59" t="s">
        <v>41</v>
      </c>
      <c r="C46" s="20" t="s">
        <v>3</v>
      </c>
      <c r="D46" s="21" t="s">
        <v>1350</v>
      </c>
      <c r="E46" s="22" t="s">
        <v>1326</v>
      </c>
      <c r="F46" s="23" t="s">
        <v>1786</v>
      </c>
      <c r="G46" s="23" t="s">
        <v>5</v>
      </c>
      <c r="H46" s="50" t="s">
        <v>267</v>
      </c>
      <c r="I46" s="23"/>
      <c r="J46" s="23"/>
      <c r="K46" s="23"/>
      <c r="L46" s="23"/>
      <c r="M46" s="10"/>
      <c r="N46" s="10"/>
      <c r="O46" s="10"/>
      <c r="P46" s="10"/>
      <c r="Q46" s="11" t="s">
        <v>1285</v>
      </c>
      <c r="R46" s="11" t="s">
        <v>29</v>
      </c>
      <c r="S46" s="11" t="s">
        <v>1283</v>
      </c>
      <c r="T46" s="78"/>
      <c r="U46" s="56"/>
      <c r="V46" s="56"/>
      <c r="W46" s="56"/>
      <c r="X46" s="56"/>
      <c r="Y46" s="56"/>
      <c r="AA46" s="56"/>
      <c r="AC46" s="117" t="s">
        <v>1305</v>
      </c>
    </row>
    <row r="47" spans="1:29" ht="103.5" x14ac:dyDescent="0.35">
      <c r="A47" s="56"/>
      <c r="B47" s="59" t="s">
        <v>41</v>
      </c>
      <c r="C47" s="20" t="s">
        <v>3</v>
      </c>
      <c r="D47" s="21" t="s">
        <v>1351</v>
      </c>
      <c r="E47" s="22" t="s">
        <v>45</v>
      </c>
      <c r="F47" s="23" t="s">
        <v>1789</v>
      </c>
      <c r="G47" s="23" t="s">
        <v>5</v>
      </c>
      <c r="H47" s="50" t="s">
        <v>267</v>
      </c>
      <c r="I47" s="23"/>
      <c r="J47" s="23"/>
      <c r="K47" s="23"/>
      <c r="L47" s="29"/>
      <c r="M47" s="10" t="s">
        <v>258</v>
      </c>
      <c r="N47" s="10" t="s">
        <v>774</v>
      </c>
      <c r="O47" s="10" t="s">
        <v>258</v>
      </c>
      <c r="P47" s="10" t="s">
        <v>258</v>
      </c>
      <c r="Q47" s="11" t="s">
        <v>1285</v>
      </c>
      <c r="R47" s="11" t="s">
        <v>29</v>
      </c>
      <c r="S47" s="11" t="s">
        <v>1283</v>
      </c>
      <c r="T47" s="78"/>
      <c r="U47" s="56"/>
      <c r="V47" s="56"/>
      <c r="W47" s="56"/>
      <c r="X47" s="56"/>
      <c r="Y47" s="56"/>
      <c r="AA47" s="56"/>
    </row>
    <row r="48" spans="1:29" ht="46" x14ac:dyDescent="0.35">
      <c r="A48" s="56"/>
      <c r="B48" s="59" t="s">
        <v>41</v>
      </c>
      <c r="C48" s="20" t="s">
        <v>3</v>
      </c>
      <c r="D48" s="21" t="s">
        <v>1352</v>
      </c>
      <c r="E48" s="22" t="s">
        <v>1327</v>
      </c>
      <c r="F48" s="23" t="s">
        <v>1787</v>
      </c>
      <c r="G48" s="23" t="s">
        <v>5</v>
      </c>
      <c r="H48" s="50" t="s">
        <v>265</v>
      </c>
      <c r="I48" s="23"/>
      <c r="J48" s="23"/>
      <c r="K48" s="23"/>
      <c r="L48" s="29"/>
      <c r="M48" s="10"/>
      <c r="N48" s="10"/>
      <c r="O48" s="10"/>
      <c r="P48" s="10"/>
      <c r="Q48" s="11" t="s">
        <v>40</v>
      </c>
      <c r="R48" s="11" t="s">
        <v>40</v>
      </c>
      <c r="S48" s="11" t="s">
        <v>1802</v>
      </c>
      <c r="T48" s="77"/>
      <c r="U48" s="56"/>
      <c r="V48" s="56"/>
      <c r="W48" s="56"/>
      <c r="X48" s="56"/>
      <c r="Y48" s="56"/>
      <c r="AA48" s="56"/>
    </row>
    <row r="49" spans="1:29" ht="57.5" x14ac:dyDescent="0.35">
      <c r="A49" s="56"/>
      <c r="B49" s="59" t="s">
        <v>41</v>
      </c>
      <c r="C49" s="20" t="s">
        <v>3</v>
      </c>
      <c r="D49" s="21" t="s">
        <v>1353</v>
      </c>
      <c r="E49" s="22" t="s">
        <v>1328</v>
      </c>
      <c r="F49" s="23" t="s">
        <v>1792</v>
      </c>
      <c r="G49" s="23" t="str">
        <f>"Decision 
If yes, proceed to step "&amp;D50&amp;" 
If no, proceed to "&amp;D43&amp;""</f>
        <v>Decision 
If yes, proceed to step 1.1.5.9 
If no, proceed to 1.1.5.2</v>
      </c>
      <c r="H49" s="50" t="s">
        <v>267</v>
      </c>
      <c r="I49" s="23"/>
      <c r="J49" s="23"/>
      <c r="K49" s="23"/>
      <c r="L49" s="29"/>
      <c r="M49" s="10"/>
      <c r="N49" s="10"/>
      <c r="O49" s="10"/>
      <c r="P49" s="10"/>
      <c r="Q49" s="11" t="s">
        <v>40</v>
      </c>
      <c r="R49" s="11" t="s">
        <v>40</v>
      </c>
      <c r="S49" s="11"/>
      <c r="T49" s="77"/>
      <c r="U49" s="56"/>
      <c r="V49" s="56"/>
      <c r="W49" s="56"/>
      <c r="X49" s="56"/>
      <c r="Y49" s="56"/>
      <c r="AA49" s="56"/>
    </row>
    <row r="50" spans="1:29" ht="103.5" x14ac:dyDescent="0.35">
      <c r="A50" s="83" t="s">
        <v>31</v>
      </c>
      <c r="B50" s="59" t="s">
        <v>316</v>
      </c>
      <c r="C50" s="20" t="s">
        <v>3</v>
      </c>
      <c r="D50" s="21" t="s">
        <v>1354</v>
      </c>
      <c r="E50" s="22" t="s">
        <v>1790</v>
      </c>
      <c r="F50" s="23" t="s">
        <v>1808</v>
      </c>
      <c r="G50" s="23" t="s">
        <v>5</v>
      </c>
      <c r="H50" s="50" t="s">
        <v>265</v>
      </c>
      <c r="I50" s="23" t="s">
        <v>426</v>
      </c>
      <c r="J50" s="23" t="s">
        <v>425</v>
      </c>
      <c r="K50" s="23" t="s">
        <v>427</v>
      </c>
      <c r="L50" s="23" t="s">
        <v>428</v>
      </c>
      <c r="M50" s="10"/>
      <c r="N50" s="10"/>
      <c r="O50" s="10"/>
      <c r="P50" s="10"/>
      <c r="Q50" s="11" t="s">
        <v>1285</v>
      </c>
      <c r="R50" s="11" t="s">
        <v>29</v>
      </c>
      <c r="S50" s="11"/>
      <c r="T50" s="77"/>
      <c r="U50" s="56"/>
      <c r="V50" s="56"/>
      <c r="W50" s="56"/>
      <c r="X50" s="56"/>
      <c r="Y50" s="56"/>
      <c r="AA50" s="56"/>
    </row>
    <row r="51" spans="1:29" ht="72.5" x14ac:dyDescent="0.35">
      <c r="A51" s="83"/>
      <c r="B51" s="59" t="s">
        <v>295</v>
      </c>
      <c r="C51" s="20" t="s">
        <v>3</v>
      </c>
      <c r="D51" s="21" t="s">
        <v>1355</v>
      </c>
      <c r="E51" s="22" t="s">
        <v>1793</v>
      </c>
      <c r="F51" s="54" t="s">
        <v>1853</v>
      </c>
      <c r="G51" s="23" t="s">
        <v>5</v>
      </c>
      <c r="H51" s="50" t="s">
        <v>265</v>
      </c>
      <c r="I51" s="23" t="s">
        <v>1097</v>
      </c>
      <c r="J51" s="23" t="s">
        <v>422</v>
      </c>
      <c r="K51" s="23" t="s">
        <v>423</v>
      </c>
      <c r="L51" s="23" t="s">
        <v>424</v>
      </c>
      <c r="M51" s="10" t="s">
        <v>258</v>
      </c>
      <c r="N51" s="10" t="s">
        <v>774</v>
      </c>
      <c r="O51" s="10" t="s">
        <v>258</v>
      </c>
      <c r="P51" s="10" t="s">
        <v>258</v>
      </c>
      <c r="Q51" s="11" t="s">
        <v>1285</v>
      </c>
      <c r="R51" s="11" t="s">
        <v>29</v>
      </c>
      <c r="S51" s="11" t="s">
        <v>1283</v>
      </c>
      <c r="T51" s="77"/>
      <c r="U51" s="56"/>
      <c r="V51" s="85" t="s">
        <v>1083</v>
      </c>
      <c r="W51" s="56"/>
      <c r="X51" s="56"/>
      <c r="Y51" s="56"/>
      <c r="AA51" s="56"/>
      <c r="AC51" s="117" t="s">
        <v>1304</v>
      </c>
    </row>
    <row r="52" spans="1:29" ht="57.5" x14ac:dyDescent="0.35">
      <c r="A52" s="56"/>
      <c r="B52" s="59" t="s">
        <v>295</v>
      </c>
      <c r="C52" s="20" t="s">
        <v>3</v>
      </c>
      <c r="D52" s="21" t="s">
        <v>1356</v>
      </c>
      <c r="E52" s="22" t="s">
        <v>50</v>
      </c>
      <c r="F52" s="54" t="s">
        <v>1794</v>
      </c>
      <c r="G52" s="23" t="s">
        <v>5</v>
      </c>
      <c r="H52" s="50" t="s">
        <v>265</v>
      </c>
      <c r="I52" s="23" t="s">
        <v>1097</v>
      </c>
      <c r="J52" s="23" t="s">
        <v>422</v>
      </c>
      <c r="K52" s="23" t="s">
        <v>423</v>
      </c>
      <c r="L52" s="23" t="s">
        <v>424</v>
      </c>
      <c r="M52" s="10" t="s">
        <v>258</v>
      </c>
      <c r="N52" s="10" t="s">
        <v>774</v>
      </c>
      <c r="O52" s="10" t="s">
        <v>258</v>
      </c>
      <c r="P52" s="10" t="s">
        <v>258</v>
      </c>
      <c r="Q52" s="11" t="s">
        <v>1285</v>
      </c>
      <c r="R52" s="11" t="s">
        <v>29</v>
      </c>
      <c r="S52" s="11"/>
      <c r="T52" s="77"/>
      <c r="U52" s="56"/>
      <c r="V52" s="85"/>
      <c r="W52" s="56"/>
      <c r="X52" s="56"/>
      <c r="Y52" s="56"/>
      <c r="AA52" s="56"/>
    </row>
    <row r="53" spans="1:29" ht="46" x14ac:dyDescent="0.35">
      <c r="A53" s="56"/>
      <c r="B53" s="59" t="s">
        <v>295</v>
      </c>
      <c r="C53" s="20" t="s">
        <v>3</v>
      </c>
      <c r="D53" s="21" t="s">
        <v>1357</v>
      </c>
      <c r="E53" s="22" t="s">
        <v>52</v>
      </c>
      <c r="F53" s="23" t="s">
        <v>1854</v>
      </c>
      <c r="G53" s="23" t="s">
        <v>5</v>
      </c>
      <c r="H53" s="50" t="s">
        <v>265</v>
      </c>
      <c r="I53" s="23"/>
      <c r="J53" s="23"/>
      <c r="K53" s="23"/>
      <c r="L53" s="23"/>
      <c r="M53" s="10" t="s">
        <v>258</v>
      </c>
      <c r="N53" s="10" t="s">
        <v>774</v>
      </c>
      <c r="O53" s="10" t="s">
        <v>258</v>
      </c>
      <c r="P53" s="10" t="s">
        <v>258</v>
      </c>
      <c r="Q53" s="11" t="s">
        <v>53</v>
      </c>
      <c r="R53" s="11" t="s">
        <v>29</v>
      </c>
      <c r="S53" s="11"/>
      <c r="T53" s="77"/>
      <c r="U53" s="56"/>
      <c r="V53" s="56"/>
      <c r="W53" s="56"/>
      <c r="X53" s="56"/>
      <c r="Y53" s="56"/>
      <c r="AA53" s="56"/>
    </row>
    <row r="54" spans="1:29" ht="57.5" x14ac:dyDescent="0.35">
      <c r="A54" s="56"/>
      <c r="B54" s="59" t="s">
        <v>295</v>
      </c>
      <c r="C54" s="20" t="s">
        <v>3</v>
      </c>
      <c r="D54" s="21" t="s">
        <v>1358</v>
      </c>
      <c r="E54" s="22" t="s">
        <v>1796</v>
      </c>
      <c r="F54" s="23" t="str">
        <f>"Determine whether the customer executed the MSA prior to completion of internal signature-first process (at step "&amp;D51&amp;")"</f>
        <v>Determine whether the customer executed the MSA prior to completion of internal signature-first process (at step 1.1.5.10)</v>
      </c>
      <c r="G54" s="23" t="str">
        <f>"Decision 
If yes, proceed to step "&amp;D55&amp;" 
If no, proceed to "&amp;D57&amp;""</f>
        <v>Decision 
If yes, proceed to step 1.1.5.14 
If no, proceed to 1.1.5.16</v>
      </c>
      <c r="H54" s="50" t="s">
        <v>265</v>
      </c>
      <c r="I54" s="23"/>
      <c r="J54" s="23"/>
      <c r="K54" s="23"/>
      <c r="L54" s="23"/>
      <c r="M54" s="10"/>
      <c r="N54" s="10"/>
      <c r="O54" s="10"/>
      <c r="P54" s="10"/>
      <c r="Q54" s="11" t="s">
        <v>53</v>
      </c>
      <c r="R54" s="11" t="s">
        <v>29</v>
      </c>
      <c r="S54" s="11"/>
      <c r="T54" s="77"/>
      <c r="U54" s="56"/>
      <c r="V54" s="56"/>
      <c r="W54" s="56"/>
      <c r="X54" s="56"/>
      <c r="Y54" s="56"/>
      <c r="AA54" s="56"/>
    </row>
    <row r="55" spans="1:29" ht="80.5" x14ac:dyDescent="0.35">
      <c r="A55" s="83" t="s">
        <v>31</v>
      </c>
      <c r="B55" s="59" t="s">
        <v>316</v>
      </c>
      <c r="C55" s="20" t="s">
        <v>3</v>
      </c>
      <c r="D55" s="21" t="s">
        <v>1359</v>
      </c>
      <c r="E55" s="22" t="s">
        <v>1797</v>
      </c>
      <c r="F55" s="23" t="s">
        <v>1807</v>
      </c>
      <c r="G55" s="23" t="s">
        <v>5</v>
      </c>
      <c r="H55" s="50" t="s">
        <v>265</v>
      </c>
      <c r="I55" s="23"/>
      <c r="J55" s="23"/>
      <c r="K55" s="23"/>
      <c r="L55" s="23"/>
      <c r="M55" s="10"/>
      <c r="N55" s="10"/>
      <c r="O55" s="10"/>
      <c r="P55" s="10"/>
      <c r="Q55" s="11" t="s">
        <v>1285</v>
      </c>
      <c r="R55" s="11" t="s">
        <v>29</v>
      </c>
      <c r="S55" s="11"/>
      <c r="T55" s="77"/>
      <c r="U55" s="56"/>
      <c r="V55" s="56"/>
      <c r="W55" s="56"/>
      <c r="X55" s="56"/>
      <c r="Y55" s="56"/>
      <c r="AA55" s="56"/>
    </row>
    <row r="56" spans="1:29" ht="34.5" x14ac:dyDescent="0.35">
      <c r="A56" s="83" t="s">
        <v>31</v>
      </c>
      <c r="B56" s="59" t="s">
        <v>1806</v>
      </c>
      <c r="C56" s="20" t="s">
        <v>3</v>
      </c>
      <c r="D56" s="21" t="s">
        <v>1360</v>
      </c>
      <c r="E56" s="22" t="s">
        <v>1805</v>
      </c>
      <c r="F56" s="23" t="s">
        <v>1804</v>
      </c>
      <c r="G56" s="23" t="s">
        <v>5</v>
      </c>
      <c r="H56" s="50" t="s">
        <v>265</v>
      </c>
      <c r="I56" s="23"/>
      <c r="J56" s="23"/>
      <c r="K56" s="23"/>
      <c r="L56" s="23"/>
      <c r="M56" s="10"/>
      <c r="N56" s="10"/>
      <c r="O56" s="10"/>
      <c r="P56" s="10"/>
      <c r="Q56" s="11" t="s">
        <v>1285</v>
      </c>
      <c r="R56" s="11" t="s">
        <v>29</v>
      </c>
      <c r="S56" s="11"/>
      <c r="T56" s="77"/>
      <c r="U56" s="56"/>
      <c r="V56" s="56"/>
      <c r="W56" s="56"/>
      <c r="X56" s="56"/>
      <c r="Y56" s="56"/>
      <c r="AA56" s="56"/>
    </row>
    <row r="57" spans="1:29" ht="46" x14ac:dyDescent="0.35">
      <c r="A57" s="83" t="s">
        <v>31</v>
      </c>
      <c r="B57" s="59" t="s">
        <v>316</v>
      </c>
      <c r="C57" s="20" t="s">
        <v>3</v>
      </c>
      <c r="D57" s="21" t="s">
        <v>1776</v>
      </c>
      <c r="E57" s="22" t="s">
        <v>1798</v>
      </c>
      <c r="F57" s="23" t="s">
        <v>1809</v>
      </c>
      <c r="G57" s="23" t="s">
        <v>5</v>
      </c>
      <c r="H57" s="50" t="s">
        <v>264</v>
      </c>
      <c r="I57" s="23"/>
      <c r="J57" s="23"/>
      <c r="K57" s="23"/>
      <c r="L57" s="23"/>
      <c r="M57" s="10" t="s">
        <v>773</v>
      </c>
      <c r="N57" s="10" t="s">
        <v>774</v>
      </c>
      <c r="O57" s="10" t="s">
        <v>258</v>
      </c>
      <c r="P57" s="10" t="s">
        <v>258</v>
      </c>
      <c r="Q57" s="11" t="s">
        <v>2160</v>
      </c>
      <c r="R57" s="11" t="s">
        <v>29</v>
      </c>
      <c r="S57" s="11"/>
      <c r="T57" s="77"/>
      <c r="U57" s="56"/>
      <c r="V57" s="56"/>
      <c r="W57" s="56"/>
      <c r="X57" s="56"/>
      <c r="Y57" s="56"/>
      <c r="AA57" s="56"/>
    </row>
    <row r="58" spans="1:29" ht="46" x14ac:dyDescent="0.35">
      <c r="A58" s="83" t="s">
        <v>31</v>
      </c>
      <c r="B58" s="59" t="s">
        <v>1803</v>
      </c>
      <c r="C58" s="20" t="s">
        <v>3</v>
      </c>
      <c r="D58" s="21" t="s">
        <v>1780</v>
      </c>
      <c r="E58" s="22" t="s">
        <v>1801</v>
      </c>
      <c r="F58" s="54" t="s">
        <v>1810</v>
      </c>
      <c r="G58" s="23" t="s">
        <v>5</v>
      </c>
      <c r="H58" s="50" t="s">
        <v>264</v>
      </c>
      <c r="I58" s="54"/>
      <c r="J58" s="54"/>
      <c r="K58" s="54"/>
      <c r="L58" s="23"/>
      <c r="M58" s="10"/>
      <c r="N58" s="10"/>
      <c r="O58" s="10"/>
      <c r="P58" s="10"/>
      <c r="Q58" s="11" t="s">
        <v>2160</v>
      </c>
      <c r="R58" s="11" t="s">
        <v>29</v>
      </c>
      <c r="S58" s="11"/>
      <c r="T58" s="77"/>
      <c r="U58" s="56"/>
      <c r="V58" s="56"/>
      <c r="W58" s="56"/>
      <c r="X58" s="56"/>
      <c r="Y58" s="56"/>
      <c r="AA58" s="56"/>
    </row>
    <row r="59" spans="1:29" ht="46" x14ac:dyDescent="0.35">
      <c r="A59" s="83"/>
      <c r="B59" s="59" t="s">
        <v>37</v>
      </c>
      <c r="C59" s="20" t="s">
        <v>3</v>
      </c>
      <c r="D59" s="21" t="s">
        <v>1781</v>
      </c>
      <c r="E59" s="22" t="s">
        <v>1880</v>
      </c>
      <c r="F59" s="54" t="str">
        <f>"Initiate creation or update of customer master data records for identified client affiliate entities (at step "&amp;D45&amp;") required to support downstream contracting, billing, invoicing and reporting processes"</f>
        <v>Initiate creation or update of customer master data records for identified client affiliate entities (at step 1.1.5.4) required to support downstream contracting, billing, invoicing and reporting processes</v>
      </c>
      <c r="G59" s="23" t="s">
        <v>5</v>
      </c>
      <c r="H59" s="50" t="s">
        <v>267</v>
      </c>
      <c r="I59" s="54"/>
      <c r="J59" s="54"/>
      <c r="K59" s="54"/>
      <c r="L59" s="23"/>
      <c r="M59" s="10"/>
      <c r="N59" s="10"/>
      <c r="O59" s="10"/>
      <c r="P59" s="10"/>
      <c r="Q59" s="11" t="s">
        <v>1283</v>
      </c>
      <c r="R59" s="11" t="s">
        <v>1283</v>
      </c>
      <c r="S59" s="11"/>
      <c r="T59" s="77"/>
      <c r="U59" s="56"/>
      <c r="V59" s="56"/>
      <c r="W59" s="56"/>
      <c r="X59" s="56"/>
      <c r="Y59" s="56"/>
      <c r="AA59" s="56"/>
    </row>
    <row r="60" spans="1:29" ht="46" x14ac:dyDescent="0.35">
      <c r="A60" s="83" t="s">
        <v>31</v>
      </c>
      <c r="B60" s="59" t="s">
        <v>316</v>
      </c>
      <c r="C60" s="20" t="s">
        <v>3</v>
      </c>
      <c r="D60" s="21" t="s">
        <v>1783</v>
      </c>
      <c r="E60" s="22" t="s">
        <v>1250</v>
      </c>
      <c r="F60" s="105" t="s">
        <v>1799</v>
      </c>
      <c r="G60" s="23" t="s">
        <v>5</v>
      </c>
      <c r="H60" s="50" t="s">
        <v>264</v>
      </c>
      <c r="I60" s="23"/>
      <c r="J60" s="23"/>
      <c r="K60" s="23"/>
      <c r="L60" s="23"/>
      <c r="M60" s="10" t="s">
        <v>773</v>
      </c>
      <c r="N60" s="10" t="s">
        <v>774</v>
      </c>
      <c r="O60" s="10" t="s">
        <v>258</v>
      </c>
      <c r="P60" s="10" t="s">
        <v>258</v>
      </c>
      <c r="Q60" s="11" t="s">
        <v>2160</v>
      </c>
      <c r="R60" s="11" t="s">
        <v>29</v>
      </c>
      <c r="S60" s="11"/>
      <c r="T60" s="77"/>
      <c r="U60" s="56"/>
      <c r="V60" s="56"/>
      <c r="W60" s="56"/>
      <c r="X60" s="56"/>
      <c r="Y60" s="56"/>
      <c r="AA60" s="56"/>
      <c r="AC60" s="117" t="s">
        <v>1306</v>
      </c>
    </row>
    <row r="61" spans="1:29" ht="57.5" x14ac:dyDescent="0.35">
      <c r="A61" s="83"/>
      <c r="B61" s="59" t="s">
        <v>1666</v>
      </c>
      <c r="C61" s="20" t="s">
        <v>3</v>
      </c>
      <c r="D61" s="21" t="s">
        <v>1791</v>
      </c>
      <c r="E61" s="22" t="s">
        <v>1784</v>
      </c>
      <c r="F61" s="54" t="s">
        <v>1785</v>
      </c>
      <c r="G61" s="23" t="s">
        <v>5</v>
      </c>
      <c r="H61" s="50" t="s">
        <v>267</v>
      </c>
      <c r="I61" s="54"/>
      <c r="J61" s="54"/>
      <c r="K61" s="54"/>
      <c r="L61" s="23"/>
      <c r="M61" s="10"/>
      <c r="N61" s="10"/>
      <c r="O61" s="10"/>
      <c r="P61" s="10"/>
      <c r="Q61" s="11" t="s">
        <v>69</v>
      </c>
      <c r="R61" s="11" t="s">
        <v>1283</v>
      </c>
      <c r="S61" s="11"/>
      <c r="T61" s="77"/>
      <c r="U61" s="56"/>
      <c r="V61" s="56"/>
      <c r="W61" s="56"/>
      <c r="X61" s="56"/>
      <c r="Y61" s="56"/>
      <c r="AA61" s="56"/>
    </row>
    <row r="62" spans="1:29" ht="34.5" x14ac:dyDescent="0.35">
      <c r="A62" s="56"/>
      <c r="B62" s="59" t="s">
        <v>37</v>
      </c>
      <c r="C62" s="20" t="s">
        <v>3</v>
      </c>
      <c r="D62" s="21" t="s">
        <v>1795</v>
      </c>
      <c r="E62" s="22" t="s">
        <v>1329</v>
      </c>
      <c r="F62" s="105" t="s">
        <v>1800</v>
      </c>
      <c r="G62" s="23" t="s">
        <v>5</v>
      </c>
      <c r="H62" s="50" t="s">
        <v>267</v>
      </c>
      <c r="I62" s="23"/>
      <c r="J62" s="23"/>
      <c r="K62" s="23"/>
      <c r="L62" s="23"/>
      <c r="M62" s="10" t="s">
        <v>26</v>
      </c>
      <c r="N62" s="10" t="s">
        <v>770</v>
      </c>
      <c r="O62" s="10" t="s">
        <v>26</v>
      </c>
      <c r="P62" s="10" t="s">
        <v>770</v>
      </c>
      <c r="Q62" s="11" t="s">
        <v>69</v>
      </c>
      <c r="R62" s="11" t="s">
        <v>1283</v>
      </c>
      <c r="S62" s="33"/>
      <c r="T62" s="77"/>
      <c r="U62" s="99" t="s">
        <v>1251</v>
      </c>
      <c r="V62" s="56"/>
      <c r="W62" s="56"/>
      <c r="X62" s="56"/>
      <c r="Y62" s="56"/>
      <c r="AA62" s="56"/>
      <c r="AC62" s="117" t="s">
        <v>1306</v>
      </c>
    </row>
    <row r="63" spans="1:29" ht="92" x14ac:dyDescent="0.35">
      <c r="A63" s="56"/>
      <c r="B63" s="59" t="s">
        <v>41</v>
      </c>
      <c r="C63" s="12" t="s">
        <v>1</v>
      </c>
      <c r="D63" s="13" t="s">
        <v>54</v>
      </c>
      <c r="E63" s="14" t="s">
        <v>1396</v>
      </c>
      <c r="F63" s="15" t="s">
        <v>313</v>
      </c>
      <c r="G63" s="15" t="s">
        <v>5</v>
      </c>
      <c r="H63" s="48" t="s">
        <v>265</v>
      </c>
      <c r="I63" s="15" t="s">
        <v>430</v>
      </c>
      <c r="J63" s="15" t="s">
        <v>429</v>
      </c>
      <c r="K63" s="15" t="s">
        <v>431</v>
      </c>
      <c r="L63" s="15" t="s">
        <v>432</v>
      </c>
      <c r="M63" s="10" t="s">
        <v>25</v>
      </c>
      <c r="N63" s="10" t="s">
        <v>26</v>
      </c>
      <c r="O63" s="10" t="s">
        <v>55</v>
      </c>
      <c r="P63" s="10" t="s">
        <v>26</v>
      </c>
      <c r="Q63" s="11" t="s">
        <v>1283</v>
      </c>
      <c r="R63" s="11" t="s">
        <v>1283</v>
      </c>
      <c r="S63" s="11" t="s">
        <v>1285</v>
      </c>
      <c r="T63" s="77"/>
      <c r="U63" s="56"/>
      <c r="V63" s="56"/>
      <c r="W63" s="56"/>
      <c r="X63" s="56"/>
      <c r="Y63" s="56"/>
      <c r="AA63" s="56"/>
    </row>
    <row r="64" spans="1:29" ht="29" x14ac:dyDescent="0.35">
      <c r="A64" s="56"/>
      <c r="B64" s="59" t="s">
        <v>41</v>
      </c>
      <c r="C64" s="16" t="s">
        <v>2</v>
      </c>
      <c r="D64" s="17" t="s">
        <v>56</v>
      </c>
      <c r="E64" s="18" t="s">
        <v>297</v>
      </c>
      <c r="F64" s="52" t="s">
        <v>1811</v>
      </c>
      <c r="G64" s="19" t="s">
        <v>5</v>
      </c>
      <c r="H64" s="49" t="s">
        <v>267</v>
      </c>
      <c r="I64" s="52"/>
      <c r="J64" s="52"/>
      <c r="K64" s="52"/>
      <c r="L64" s="52"/>
      <c r="M64" s="10" t="s">
        <v>258</v>
      </c>
      <c r="N64" s="10" t="s">
        <v>26</v>
      </c>
      <c r="O64" s="10" t="s">
        <v>776</v>
      </c>
      <c r="P64" s="10" t="s">
        <v>26</v>
      </c>
      <c r="Q64" s="11" t="s">
        <v>1283</v>
      </c>
      <c r="R64" s="11" t="s">
        <v>1283</v>
      </c>
      <c r="S64" s="11"/>
      <c r="T64" s="77"/>
      <c r="U64" s="114" t="s">
        <v>839</v>
      </c>
      <c r="V64" s="56"/>
      <c r="W64" s="56"/>
      <c r="X64" s="56"/>
      <c r="Y64" s="56"/>
      <c r="AA64" s="56"/>
    </row>
    <row r="65" spans="1:29" ht="46" x14ac:dyDescent="0.35">
      <c r="A65" s="56"/>
      <c r="B65" s="59" t="s">
        <v>41</v>
      </c>
      <c r="C65" s="20" t="s">
        <v>3</v>
      </c>
      <c r="D65" s="21" t="s">
        <v>298</v>
      </c>
      <c r="E65" s="22" t="s">
        <v>299</v>
      </c>
      <c r="F65" s="23" t="s">
        <v>300</v>
      </c>
      <c r="G65" s="105" t="str">
        <f>"Decision 
If yes, proceed to step "&amp;D71&amp;" 
If no, proceed to "&amp;D66&amp;""</f>
        <v>Decision 
If yes, proceed to step 1.2.2.5 
If no, proceed to 1.2.2</v>
      </c>
      <c r="H65" s="50" t="s">
        <v>267</v>
      </c>
      <c r="I65" s="23"/>
      <c r="J65" s="23"/>
      <c r="K65" s="23"/>
      <c r="L65" s="23"/>
      <c r="M65" s="10" t="s">
        <v>258</v>
      </c>
      <c r="N65" s="10" t="s">
        <v>774</v>
      </c>
      <c r="O65" s="10" t="s">
        <v>258</v>
      </c>
      <c r="P65" s="10" t="s">
        <v>258</v>
      </c>
      <c r="Q65" s="11" t="s">
        <v>1283</v>
      </c>
      <c r="R65" s="11" t="s">
        <v>1283</v>
      </c>
      <c r="S65" s="11" t="s">
        <v>1285</v>
      </c>
      <c r="T65" s="77"/>
      <c r="U65" s="56"/>
      <c r="V65" s="56"/>
      <c r="W65" s="56"/>
      <c r="X65" s="56"/>
      <c r="Y65" s="56"/>
      <c r="AA65" s="56"/>
    </row>
    <row r="66" spans="1:29" ht="80.5" x14ac:dyDescent="0.35">
      <c r="A66" s="56"/>
      <c r="B66" s="59" t="s">
        <v>1812</v>
      </c>
      <c r="C66" s="16" t="s">
        <v>2</v>
      </c>
      <c r="D66" s="17" t="s">
        <v>57</v>
      </c>
      <c r="E66" s="18" t="s">
        <v>58</v>
      </c>
      <c r="F66" s="52" t="s">
        <v>59</v>
      </c>
      <c r="G66" s="19" t="s">
        <v>5</v>
      </c>
      <c r="H66" s="49" t="s">
        <v>265</v>
      </c>
      <c r="I66" s="52" t="s">
        <v>434</v>
      </c>
      <c r="J66" s="52" t="s">
        <v>433</v>
      </c>
      <c r="K66" s="52" t="s">
        <v>435</v>
      </c>
      <c r="L66" s="52" t="s">
        <v>436</v>
      </c>
      <c r="M66" s="10" t="s">
        <v>258</v>
      </c>
      <c r="N66" s="10" t="s">
        <v>26</v>
      </c>
      <c r="O66" s="10" t="s">
        <v>258</v>
      </c>
      <c r="P66" s="10" t="s">
        <v>26</v>
      </c>
      <c r="Q66" s="11" t="s">
        <v>1283</v>
      </c>
      <c r="R66" s="11" t="s">
        <v>1283</v>
      </c>
      <c r="S66" s="11" t="s">
        <v>1285</v>
      </c>
      <c r="T66" s="77"/>
      <c r="U66" s="56"/>
      <c r="V66" s="56"/>
      <c r="W66" s="56"/>
      <c r="X66" s="56"/>
      <c r="Y66" s="56"/>
      <c r="AA66" s="56"/>
    </row>
    <row r="67" spans="1:29" ht="34.5" x14ac:dyDescent="0.35">
      <c r="A67" s="56"/>
      <c r="B67" s="59" t="s">
        <v>41</v>
      </c>
      <c r="C67" s="20" t="s">
        <v>3</v>
      </c>
      <c r="D67" s="21" t="s">
        <v>60</v>
      </c>
      <c r="E67" s="60" t="s">
        <v>1363</v>
      </c>
      <c r="F67" s="54" t="s">
        <v>1367</v>
      </c>
      <c r="G67" s="23" t="s">
        <v>5</v>
      </c>
      <c r="H67" s="50" t="s">
        <v>267</v>
      </c>
      <c r="I67" s="23"/>
      <c r="J67" s="23"/>
      <c r="K67" s="23"/>
      <c r="L67" s="23"/>
      <c r="M67" s="10"/>
      <c r="N67" s="10"/>
      <c r="O67" s="10"/>
      <c r="P67" s="10"/>
      <c r="Q67" s="11" t="s">
        <v>1283</v>
      </c>
      <c r="R67" s="11" t="s">
        <v>1283</v>
      </c>
      <c r="S67" s="11" t="s">
        <v>1285</v>
      </c>
      <c r="T67" s="77"/>
      <c r="U67" s="99"/>
      <c r="V67" s="56"/>
      <c r="W67" s="56"/>
      <c r="X67" s="56"/>
      <c r="Y67" s="56"/>
      <c r="AA67" s="56"/>
    </row>
    <row r="68" spans="1:29" ht="130.5" x14ac:dyDescent="0.35">
      <c r="A68" s="56"/>
      <c r="B68" s="59" t="s">
        <v>41</v>
      </c>
      <c r="C68" s="20" t="s">
        <v>3</v>
      </c>
      <c r="D68" s="21" t="s">
        <v>61</v>
      </c>
      <c r="E68" s="22" t="s">
        <v>314</v>
      </c>
      <c r="F68" s="23" t="s">
        <v>1813</v>
      </c>
      <c r="G68" s="23" t="s">
        <v>5</v>
      </c>
      <c r="H68" s="50" t="s">
        <v>267</v>
      </c>
      <c r="I68" s="23"/>
      <c r="J68" s="23"/>
      <c r="K68" s="23"/>
      <c r="L68" s="23"/>
      <c r="M68" s="10" t="s">
        <v>258</v>
      </c>
      <c r="N68" s="10" t="s">
        <v>774</v>
      </c>
      <c r="O68" s="10" t="s">
        <v>258</v>
      </c>
      <c r="P68" s="10" t="s">
        <v>258</v>
      </c>
      <c r="Q68" s="11" t="s">
        <v>1283</v>
      </c>
      <c r="R68" s="11" t="s">
        <v>1283</v>
      </c>
      <c r="S68" s="11" t="s">
        <v>1285</v>
      </c>
      <c r="T68" s="77"/>
      <c r="U68" s="99" t="s">
        <v>837</v>
      </c>
      <c r="V68" s="56"/>
      <c r="W68" s="56"/>
      <c r="X68" s="56"/>
      <c r="Y68" s="56"/>
      <c r="AA68" s="56"/>
      <c r="AC68" s="117" t="s">
        <v>1311</v>
      </c>
    </row>
    <row r="69" spans="1:29" ht="57.5" x14ac:dyDescent="0.35">
      <c r="A69" s="56"/>
      <c r="B69" s="59" t="s">
        <v>41</v>
      </c>
      <c r="C69" s="20" t="s">
        <v>3</v>
      </c>
      <c r="D69" s="21" t="s">
        <v>62</v>
      </c>
      <c r="E69" s="22" t="s">
        <v>1815</v>
      </c>
      <c r="F69" s="23" t="s">
        <v>1816</v>
      </c>
      <c r="G69" s="23" t="s">
        <v>5</v>
      </c>
      <c r="H69" s="50" t="s">
        <v>267</v>
      </c>
      <c r="I69" s="23"/>
      <c r="J69" s="23"/>
      <c r="K69" s="23"/>
      <c r="L69" s="23"/>
      <c r="M69" s="10"/>
      <c r="N69" s="10"/>
      <c r="O69" s="10"/>
      <c r="P69" s="10"/>
      <c r="Q69" s="11" t="s">
        <v>1283</v>
      </c>
      <c r="R69" s="11" t="s">
        <v>1283</v>
      </c>
      <c r="S69" s="11" t="s">
        <v>1285</v>
      </c>
      <c r="T69" s="77"/>
      <c r="U69" s="99"/>
      <c r="V69" s="56"/>
      <c r="W69" s="56"/>
      <c r="X69" s="56"/>
      <c r="Y69" s="56"/>
      <c r="AA69" s="56"/>
    </row>
    <row r="70" spans="1:29" ht="34.5" x14ac:dyDescent="0.35">
      <c r="A70" s="56"/>
      <c r="B70" s="59" t="s">
        <v>41</v>
      </c>
      <c r="C70" s="20" t="s">
        <v>3</v>
      </c>
      <c r="D70" s="21" t="s">
        <v>64</v>
      </c>
      <c r="E70" s="22" t="s">
        <v>1779</v>
      </c>
      <c r="F70" s="23" t="s">
        <v>1814</v>
      </c>
      <c r="G70" s="23" t="s">
        <v>5</v>
      </c>
      <c r="H70" s="50" t="s">
        <v>267</v>
      </c>
      <c r="I70" s="23"/>
      <c r="J70" s="23"/>
      <c r="K70" s="23"/>
      <c r="L70" s="29"/>
      <c r="M70" s="10"/>
      <c r="N70" s="10"/>
      <c r="O70" s="10"/>
      <c r="P70" s="10"/>
      <c r="Q70" s="11" t="s">
        <v>1283</v>
      </c>
      <c r="R70" s="11" t="s">
        <v>1283</v>
      </c>
      <c r="S70" s="11" t="s">
        <v>1285</v>
      </c>
      <c r="T70" s="77"/>
      <c r="U70" s="56"/>
      <c r="V70" s="56"/>
      <c r="W70" s="56"/>
      <c r="X70" s="56"/>
      <c r="Y70" s="56"/>
      <c r="AA70" s="56"/>
    </row>
    <row r="71" spans="1:29" ht="58" x14ac:dyDescent="0.35">
      <c r="A71" s="56"/>
      <c r="B71" s="59" t="s">
        <v>41</v>
      </c>
      <c r="C71" s="20" t="s">
        <v>3</v>
      </c>
      <c r="D71" s="21" t="s">
        <v>296</v>
      </c>
      <c r="E71" s="22" t="s">
        <v>355</v>
      </c>
      <c r="F71" s="23" t="s">
        <v>1397</v>
      </c>
      <c r="G71" s="23" t="s">
        <v>5</v>
      </c>
      <c r="H71" s="50" t="s">
        <v>267</v>
      </c>
      <c r="I71" s="23" t="s">
        <v>1252</v>
      </c>
      <c r="J71" s="23"/>
      <c r="K71" s="23"/>
      <c r="L71" s="23"/>
      <c r="M71" s="10" t="s">
        <v>258</v>
      </c>
      <c r="N71" s="10" t="s">
        <v>26</v>
      </c>
      <c r="O71" s="10" t="s">
        <v>775</v>
      </c>
      <c r="P71" s="10" t="s">
        <v>26</v>
      </c>
      <c r="Q71" s="11" t="s">
        <v>1283</v>
      </c>
      <c r="R71" s="11" t="s">
        <v>1283</v>
      </c>
      <c r="S71" s="11" t="s">
        <v>1285</v>
      </c>
      <c r="T71" s="77"/>
      <c r="U71" s="56"/>
      <c r="V71" s="100" t="s">
        <v>1243</v>
      </c>
      <c r="W71" s="56"/>
      <c r="X71" s="56"/>
      <c r="Y71" s="56"/>
      <c r="AA71" s="56"/>
    </row>
    <row r="72" spans="1:29" ht="115" x14ac:dyDescent="0.35">
      <c r="A72" s="56"/>
      <c r="B72" s="59" t="s">
        <v>41</v>
      </c>
      <c r="C72" s="20" t="s">
        <v>3</v>
      </c>
      <c r="D72" s="21" t="s">
        <v>302</v>
      </c>
      <c r="E72" s="22" t="s">
        <v>1821</v>
      </c>
      <c r="F72" s="23" t="s">
        <v>1820</v>
      </c>
      <c r="G72" s="23" t="s">
        <v>5</v>
      </c>
      <c r="H72" s="50" t="s">
        <v>267</v>
      </c>
      <c r="I72" s="23" t="s">
        <v>1253</v>
      </c>
      <c r="J72" s="23" t="s">
        <v>437</v>
      </c>
      <c r="K72" s="23" t="s">
        <v>438</v>
      </c>
      <c r="L72" s="23" t="s">
        <v>439</v>
      </c>
      <c r="M72" s="10" t="s">
        <v>777</v>
      </c>
      <c r="N72" s="10" t="s">
        <v>26</v>
      </c>
      <c r="O72" s="10" t="s">
        <v>777</v>
      </c>
      <c r="P72" s="10" t="s">
        <v>26</v>
      </c>
      <c r="Q72" s="11" t="s">
        <v>1283</v>
      </c>
      <c r="R72" s="11" t="s">
        <v>1283</v>
      </c>
      <c r="S72" s="11" t="s">
        <v>1285</v>
      </c>
      <c r="T72" s="77"/>
      <c r="U72" s="56"/>
      <c r="V72" s="101" t="s">
        <v>1245</v>
      </c>
      <c r="W72" s="56"/>
      <c r="X72" s="56"/>
      <c r="Y72" s="56"/>
      <c r="AA72" s="56"/>
    </row>
    <row r="73" spans="1:29" ht="80.5" x14ac:dyDescent="0.35">
      <c r="A73" s="56"/>
      <c r="B73" s="59" t="s">
        <v>41</v>
      </c>
      <c r="C73" s="20" t="s">
        <v>3</v>
      </c>
      <c r="D73" s="21" t="s">
        <v>303</v>
      </c>
      <c r="E73" s="22" t="s">
        <v>1335</v>
      </c>
      <c r="F73" s="23" t="s">
        <v>1822</v>
      </c>
      <c r="G73" s="23" t="s">
        <v>5</v>
      </c>
      <c r="H73" s="50" t="s">
        <v>267</v>
      </c>
      <c r="I73" s="23" t="s">
        <v>1253</v>
      </c>
      <c r="J73" s="23" t="s">
        <v>437</v>
      </c>
      <c r="K73" s="23" t="s">
        <v>438</v>
      </c>
      <c r="L73" s="23" t="s">
        <v>439</v>
      </c>
      <c r="M73" s="10" t="s">
        <v>777</v>
      </c>
      <c r="N73" s="10" t="s">
        <v>26</v>
      </c>
      <c r="O73" s="10" t="s">
        <v>777</v>
      </c>
      <c r="P73" s="10" t="s">
        <v>26</v>
      </c>
      <c r="Q73" s="11" t="s">
        <v>1283</v>
      </c>
      <c r="R73" s="11" t="s">
        <v>1283</v>
      </c>
      <c r="S73" s="11" t="s">
        <v>1285</v>
      </c>
      <c r="T73" s="77"/>
      <c r="U73" s="56"/>
      <c r="V73" s="101"/>
      <c r="W73" s="56"/>
      <c r="X73" s="56"/>
      <c r="Y73" s="56"/>
      <c r="AA73" s="56"/>
    </row>
    <row r="74" spans="1:29" ht="43.5" x14ac:dyDescent="0.35">
      <c r="A74" s="56"/>
      <c r="B74" s="59" t="s">
        <v>41</v>
      </c>
      <c r="C74" s="20" t="s">
        <v>3</v>
      </c>
      <c r="D74" s="21" t="s">
        <v>1268</v>
      </c>
      <c r="E74" s="22" t="s">
        <v>356</v>
      </c>
      <c r="F74" s="23" t="s">
        <v>63</v>
      </c>
      <c r="G74" s="23" t="s">
        <v>5</v>
      </c>
      <c r="H74" s="50" t="s">
        <v>267</v>
      </c>
      <c r="I74" s="23" t="s">
        <v>1254</v>
      </c>
      <c r="J74" s="23"/>
      <c r="K74" s="23"/>
      <c r="L74" s="23"/>
      <c r="M74" s="10" t="s">
        <v>778</v>
      </c>
      <c r="N74" s="10" t="s">
        <v>26</v>
      </c>
      <c r="O74" s="10" t="s">
        <v>775</v>
      </c>
      <c r="P74" s="10" t="s">
        <v>26</v>
      </c>
      <c r="Q74" s="11" t="s">
        <v>1283</v>
      </c>
      <c r="R74" s="11" t="s">
        <v>1283</v>
      </c>
      <c r="S74" s="11" t="s">
        <v>373</v>
      </c>
      <c r="T74" s="77"/>
      <c r="U74" s="56"/>
      <c r="V74" s="100" t="s">
        <v>1246</v>
      </c>
      <c r="W74" s="56"/>
      <c r="X74" s="56"/>
      <c r="Y74" s="56"/>
      <c r="AA74" s="56"/>
    </row>
    <row r="75" spans="1:29" ht="23" x14ac:dyDescent="0.35">
      <c r="A75" s="56"/>
      <c r="B75" s="59" t="s">
        <v>41</v>
      </c>
      <c r="C75" s="20" t="s">
        <v>3</v>
      </c>
      <c r="D75" s="21" t="s">
        <v>1269</v>
      </c>
      <c r="E75" s="22" t="s">
        <v>354</v>
      </c>
      <c r="F75" s="23" t="s">
        <v>1823</v>
      </c>
      <c r="G75" s="23" t="s">
        <v>5</v>
      </c>
      <c r="H75" s="50" t="s">
        <v>267</v>
      </c>
      <c r="I75" s="23"/>
      <c r="J75" s="23"/>
      <c r="K75" s="23"/>
      <c r="L75" s="23"/>
      <c r="M75" s="10" t="s">
        <v>258</v>
      </c>
      <c r="N75" s="10" t="s">
        <v>26</v>
      </c>
      <c r="O75" s="10" t="s">
        <v>258</v>
      </c>
      <c r="P75" s="10" t="s">
        <v>26</v>
      </c>
      <c r="Q75" s="11" t="s">
        <v>1283</v>
      </c>
      <c r="R75" s="11" t="s">
        <v>1283</v>
      </c>
      <c r="S75" s="11" t="s">
        <v>1285</v>
      </c>
      <c r="T75" s="77"/>
      <c r="U75" s="56"/>
      <c r="V75" s="103"/>
      <c r="W75" s="56"/>
      <c r="X75" s="56"/>
      <c r="Y75" s="56"/>
      <c r="AA75" s="56"/>
    </row>
    <row r="76" spans="1:29" ht="57.5" x14ac:dyDescent="0.35">
      <c r="A76" s="56"/>
      <c r="B76" s="59" t="s">
        <v>41</v>
      </c>
      <c r="C76" s="20" t="s">
        <v>3</v>
      </c>
      <c r="D76" s="21" t="s">
        <v>1270</v>
      </c>
      <c r="E76" s="22" t="s">
        <v>351</v>
      </c>
      <c r="F76" s="23" t="s">
        <v>353</v>
      </c>
      <c r="G76" s="105" t="str">
        <f>"Decision 
If yes, proceed to step "&amp;D77&amp;" 
If no, proceed to "&amp;D79&amp;""</f>
        <v>Decision 
If yes, proceed to step 1.2.2.11 
If no, proceed to 1.2.2.13</v>
      </c>
      <c r="H76" s="50" t="s">
        <v>267</v>
      </c>
      <c r="I76" s="23" t="s">
        <v>1084</v>
      </c>
      <c r="J76" s="23"/>
      <c r="K76" s="23"/>
      <c r="L76" s="23"/>
      <c r="M76" s="10" t="s">
        <v>258</v>
      </c>
      <c r="N76" s="10" t="s">
        <v>774</v>
      </c>
      <c r="O76" s="10" t="s">
        <v>258</v>
      </c>
      <c r="P76" s="10" t="s">
        <v>258</v>
      </c>
      <c r="Q76" s="11" t="s">
        <v>1283</v>
      </c>
      <c r="R76" s="11" t="s">
        <v>1283</v>
      </c>
      <c r="S76" s="11" t="s">
        <v>1285</v>
      </c>
      <c r="T76" s="77"/>
      <c r="U76" s="56"/>
      <c r="V76" s="100" t="s">
        <v>1247</v>
      </c>
      <c r="W76" s="56"/>
      <c r="X76" s="56"/>
      <c r="Y76" s="56"/>
      <c r="AA76" s="56"/>
    </row>
    <row r="77" spans="1:29" ht="69" x14ac:dyDescent="0.35">
      <c r="A77" s="56"/>
      <c r="B77" s="59" t="s">
        <v>41</v>
      </c>
      <c r="C77" s="20" t="s">
        <v>3</v>
      </c>
      <c r="D77" s="21" t="s">
        <v>1330</v>
      </c>
      <c r="E77" s="22" t="s">
        <v>1307</v>
      </c>
      <c r="F77" s="23" t="s">
        <v>1824</v>
      </c>
      <c r="G77" s="23" t="s">
        <v>5</v>
      </c>
      <c r="H77" s="50" t="s">
        <v>267</v>
      </c>
      <c r="I77" s="23" t="s">
        <v>1255</v>
      </c>
      <c r="J77" s="23"/>
      <c r="K77" s="23"/>
      <c r="L77" s="23"/>
      <c r="M77" s="10" t="s">
        <v>258</v>
      </c>
      <c r="N77" s="10" t="s">
        <v>774</v>
      </c>
      <c r="O77" s="10" t="s">
        <v>258</v>
      </c>
      <c r="P77" s="10" t="s">
        <v>258</v>
      </c>
      <c r="Q77" s="11" t="s">
        <v>1283</v>
      </c>
      <c r="R77" s="11" t="s">
        <v>1283</v>
      </c>
      <c r="S77" s="11" t="s">
        <v>1285</v>
      </c>
      <c r="T77" s="77"/>
      <c r="U77" s="56"/>
      <c r="V77" s="100" t="s">
        <v>1248</v>
      </c>
      <c r="W77" s="56"/>
      <c r="X77" s="56"/>
      <c r="Y77" s="56"/>
      <c r="AA77" s="56"/>
      <c r="AC77" s="117" t="s">
        <v>1308</v>
      </c>
    </row>
    <row r="78" spans="1:29" ht="46" x14ac:dyDescent="0.35">
      <c r="A78" s="56"/>
      <c r="B78" s="59" t="s">
        <v>295</v>
      </c>
      <c r="C78" s="20" t="s">
        <v>3</v>
      </c>
      <c r="D78" s="21" t="s">
        <v>1336</v>
      </c>
      <c r="E78" s="22" t="s">
        <v>1793</v>
      </c>
      <c r="F78" s="54" t="s">
        <v>1853</v>
      </c>
      <c r="G78" s="23" t="s">
        <v>5</v>
      </c>
      <c r="H78" s="50" t="s">
        <v>265</v>
      </c>
      <c r="I78" s="23"/>
      <c r="J78" s="23"/>
      <c r="K78" s="23"/>
      <c r="L78" s="29"/>
      <c r="M78" s="10"/>
      <c r="N78" s="10"/>
      <c r="O78" s="10"/>
      <c r="P78" s="10"/>
      <c r="Q78" s="11" t="s">
        <v>1283</v>
      </c>
      <c r="R78" s="11" t="s">
        <v>1283</v>
      </c>
      <c r="S78" s="11" t="s">
        <v>1285</v>
      </c>
      <c r="T78" s="77"/>
      <c r="U78" s="56"/>
      <c r="V78" s="56"/>
      <c r="W78" s="56"/>
      <c r="X78" s="56"/>
      <c r="Y78" s="56"/>
      <c r="AA78" s="56"/>
    </row>
    <row r="79" spans="1:29" ht="126.5" x14ac:dyDescent="0.35">
      <c r="A79" s="56" t="s">
        <v>31</v>
      </c>
      <c r="B79" s="59" t="s">
        <v>316</v>
      </c>
      <c r="C79" s="20" t="s">
        <v>3</v>
      </c>
      <c r="D79" s="21" t="s">
        <v>1817</v>
      </c>
      <c r="E79" s="22" t="s">
        <v>1271</v>
      </c>
      <c r="F79" s="54" t="s">
        <v>1870</v>
      </c>
      <c r="G79" s="23" t="s">
        <v>5</v>
      </c>
      <c r="H79" s="50" t="s">
        <v>265</v>
      </c>
      <c r="I79" s="23"/>
      <c r="J79" s="23"/>
      <c r="K79" s="23"/>
      <c r="L79" s="23"/>
      <c r="M79" s="10" t="s">
        <v>773</v>
      </c>
      <c r="N79" s="10" t="s">
        <v>774</v>
      </c>
      <c r="O79" s="10" t="s">
        <v>258</v>
      </c>
      <c r="P79" s="10" t="s">
        <v>258</v>
      </c>
      <c r="Q79" s="11" t="s">
        <v>1283</v>
      </c>
      <c r="R79" s="11" t="s">
        <v>1283</v>
      </c>
      <c r="S79" s="11"/>
      <c r="T79" s="77"/>
      <c r="U79" s="56"/>
      <c r="V79" s="100"/>
      <c r="W79" s="56"/>
      <c r="X79" s="56"/>
      <c r="Y79" s="56"/>
      <c r="AA79" s="56"/>
    </row>
    <row r="80" spans="1:29" ht="58" x14ac:dyDescent="0.35">
      <c r="A80" s="56" t="s">
        <v>31</v>
      </c>
      <c r="B80" s="59" t="s">
        <v>316</v>
      </c>
      <c r="C80" s="20" t="s">
        <v>3</v>
      </c>
      <c r="D80" s="21" t="s">
        <v>1818</v>
      </c>
      <c r="E80" s="22" t="s">
        <v>1272</v>
      </c>
      <c r="F80" s="54" t="s">
        <v>1825</v>
      </c>
      <c r="G80" s="23" t="s">
        <v>5</v>
      </c>
      <c r="H80" s="50" t="s">
        <v>264</v>
      </c>
      <c r="I80" s="23"/>
      <c r="J80" s="23"/>
      <c r="K80" s="23"/>
      <c r="L80" s="23"/>
      <c r="M80" s="10" t="s">
        <v>773</v>
      </c>
      <c r="N80" s="10" t="s">
        <v>774</v>
      </c>
      <c r="O80" s="10" t="s">
        <v>258</v>
      </c>
      <c r="P80" s="10" t="s">
        <v>258</v>
      </c>
      <c r="Q80" s="11" t="s">
        <v>1284</v>
      </c>
      <c r="R80" s="11" t="s">
        <v>1283</v>
      </c>
      <c r="S80" s="11" t="s">
        <v>1285</v>
      </c>
      <c r="T80" s="77"/>
      <c r="U80" s="56"/>
      <c r="V80" s="100"/>
      <c r="W80" s="56"/>
      <c r="X80" s="56"/>
      <c r="Y80" s="56"/>
      <c r="AA80" s="56"/>
      <c r="AC80" s="117" t="s">
        <v>1310</v>
      </c>
    </row>
    <row r="81" spans="1:29" ht="23" x14ac:dyDescent="0.35">
      <c r="A81" s="56" t="s">
        <v>31</v>
      </c>
      <c r="B81" s="59" t="s">
        <v>316</v>
      </c>
      <c r="C81" s="20" t="s">
        <v>3</v>
      </c>
      <c r="D81" s="21" t="s">
        <v>1819</v>
      </c>
      <c r="E81" s="22" t="s">
        <v>305</v>
      </c>
      <c r="F81" s="23" t="s">
        <v>1860</v>
      </c>
      <c r="G81" s="23" t="s">
        <v>5</v>
      </c>
      <c r="H81" s="50" t="s">
        <v>267</v>
      </c>
      <c r="I81" s="23"/>
      <c r="J81" s="23"/>
      <c r="K81" s="23"/>
      <c r="L81" s="23"/>
      <c r="M81" s="10" t="s">
        <v>773</v>
      </c>
      <c r="N81" s="10" t="s">
        <v>774</v>
      </c>
      <c r="O81" s="10" t="s">
        <v>258</v>
      </c>
      <c r="P81" s="10" t="s">
        <v>258</v>
      </c>
      <c r="Q81" s="11" t="s">
        <v>1283</v>
      </c>
      <c r="R81" s="11" t="s">
        <v>1283</v>
      </c>
      <c r="S81" s="11" t="s">
        <v>1285</v>
      </c>
      <c r="T81" s="77"/>
      <c r="U81" s="56"/>
      <c r="V81" s="56"/>
      <c r="W81" s="56"/>
      <c r="X81" s="56"/>
      <c r="Y81" s="56"/>
      <c r="AA81" s="56"/>
    </row>
    <row r="82" spans="1:29" ht="92" x14ac:dyDescent="0.35">
      <c r="A82" s="56" t="s">
        <v>31</v>
      </c>
      <c r="B82" s="59" t="s">
        <v>1868</v>
      </c>
      <c r="C82" s="16" t="s">
        <v>2</v>
      </c>
      <c r="D82" s="17" t="s">
        <v>65</v>
      </c>
      <c r="E82" s="18" t="s">
        <v>1275</v>
      </c>
      <c r="F82" s="52" t="s">
        <v>1826</v>
      </c>
      <c r="G82" s="19" t="s">
        <v>5</v>
      </c>
      <c r="H82" s="49" t="s">
        <v>265</v>
      </c>
      <c r="I82" s="52"/>
      <c r="J82" s="52"/>
      <c r="K82" s="52"/>
      <c r="L82" s="52"/>
      <c r="M82" s="10"/>
      <c r="N82" s="10"/>
      <c r="O82" s="10"/>
      <c r="P82" s="10"/>
      <c r="Q82" s="11" t="s">
        <v>1283</v>
      </c>
      <c r="R82" s="11" t="s">
        <v>369</v>
      </c>
      <c r="S82" s="11"/>
      <c r="T82" s="77"/>
      <c r="U82" s="56"/>
      <c r="V82" s="100"/>
      <c r="W82" s="56"/>
      <c r="X82" s="56"/>
      <c r="Y82" s="56"/>
      <c r="AA82" s="56"/>
    </row>
    <row r="83" spans="1:29" ht="34.5" x14ac:dyDescent="0.35">
      <c r="A83" s="56" t="s">
        <v>31</v>
      </c>
      <c r="B83" s="59" t="s">
        <v>316</v>
      </c>
      <c r="C83" s="20" t="s">
        <v>3</v>
      </c>
      <c r="D83" s="21" t="s">
        <v>1276</v>
      </c>
      <c r="E83" s="22" t="s">
        <v>1277</v>
      </c>
      <c r="F83" s="54" t="s">
        <v>1827</v>
      </c>
      <c r="G83" s="23" t="e">
        <f>"Decision 
If yes, proceed to step "&amp;D84&amp;" 
If no, proceed to "&amp;#REF!&amp;""</f>
        <v>#REF!</v>
      </c>
      <c r="H83" s="50" t="s">
        <v>267</v>
      </c>
      <c r="I83" s="23"/>
      <c r="J83" s="23"/>
      <c r="K83" s="23"/>
      <c r="L83" s="23"/>
      <c r="M83" s="10"/>
      <c r="N83" s="10"/>
      <c r="O83" s="10"/>
      <c r="P83" s="10"/>
      <c r="Q83" s="11" t="s">
        <v>1283</v>
      </c>
      <c r="R83" s="11" t="s">
        <v>1283</v>
      </c>
      <c r="S83" s="11"/>
      <c r="T83" s="77"/>
      <c r="U83" s="56"/>
      <c r="V83" s="100"/>
      <c r="W83" s="56"/>
      <c r="X83" s="56"/>
      <c r="Y83" s="56"/>
      <c r="AA83" s="56"/>
    </row>
    <row r="84" spans="1:29" ht="87" x14ac:dyDescent="0.35">
      <c r="A84" s="56" t="s">
        <v>31</v>
      </c>
      <c r="B84" s="59" t="s">
        <v>316</v>
      </c>
      <c r="C84" s="20" t="s">
        <v>3</v>
      </c>
      <c r="D84" s="21" t="s">
        <v>1278</v>
      </c>
      <c r="E84" s="22" t="s">
        <v>1280</v>
      </c>
      <c r="F84" s="54" t="s">
        <v>1828</v>
      </c>
      <c r="G84" s="23" t="s">
        <v>5</v>
      </c>
      <c r="H84" s="50" t="s">
        <v>267</v>
      </c>
      <c r="I84" s="23"/>
      <c r="J84" s="23"/>
      <c r="K84" s="23"/>
      <c r="L84" s="23"/>
      <c r="M84" s="10"/>
      <c r="N84" s="10"/>
      <c r="O84" s="10"/>
      <c r="P84" s="10"/>
      <c r="Q84" s="11" t="s">
        <v>369</v>
      </c>
      <c r="R84" s="11" t="s">
        <v>369</v>
      </c>
      <c r="S84" s="11" t="s">
        <v>1283</v>
      </c>
      <c r="T84" s="77"/>
      <c r="U84" s="56"/>
      <c r="V84" s="100"/>
      <c r="W84" s="56"/>
      <c r="X84" s="56"/>
      <c r="Y84" s="56"/>
      <c r="AA84" s="56"/>
      <c r="AC84" s="117" t="s">
        <v>1333</v>
      </c>
    </row>
    <row r="85" spans="1:29" ht="34.5" x14ac:dyDescent="0.35">
      <c r="A85" s="56"/>
      <c r="B85" s="59" t="s">
        <v>83</v>
      </c>
      <c r="C85" s="20" t="s">
        <v>3</v>
      </c>
      <c r="D85" s="21" t="s">
        <v>1279</v>
      </c>
      <c r="E85" s="22" t="s">
        <v>1282</v>
      </c>
      <c r="F85" s="54" t="str">
        <f>"Click 'Submit' to proceed to project setup with unsigned SOW at "&amp;D119&amp;" using 'Proposal' status in PSA"</f>
        <v>Click 'Submit' to proceed to project setup with unsigned SOW at 1.3.1 using 'Proposal' status in PSA</v>
      </c>
      <c r="G85" s="23" t="s">
        <v>5</v>
      </c>
      <c r="H85" s="50" t="s">
        <v>267</v>
      </c>
      <c r="I85" s="23"/>
      <c r="J85" s="23"/>
      <c r="K85" s="23"/>
      <c r="L85" s="23"/>
      <c r="M85" s="10"/>
      <c r="N85" s="10"/>
      <c r="O85" s="10"/>
      <c r="P85" s="10"/>
      <c r="Q85" s="11" t="s">
        <v>1283</v>
      </c>
      <c r="R85" s="11" t="s">
        <v>1283</v>
      </c>
      <c r="S85" s="11"/>
      <c r="T85" s="77"/>
      <c r="U85" s="56"/>
      <c r="V85" s="100"/>
      <c r="W85" s="56"/>
      <c r="X85" s="56"/>
      <c r="Y85" s="56"/>
      <c r="AA85" s="56"/>
    </row>
    <row r="86" spans="1:29" ht="69" x14ac:dyDescent="0.35">
      <c r="A86" s="56"/>
      <c r="B86" s="59" t="s">
        <v>1341</v>
      </c>
      <c r="C86" s="20" t="s">
        <v>3</v>
      </c>
      <c r="D86" s="21" t="s">
        <v>1281</v>
      </c>
      <c r="E86" s="22" t="s">
        <v>1334</v>
      </c>
      <c r="F86" s="54" t="s">
        <v>1829</v>
      </c>
      <c r="G86" s="23" t="s">
        <v>5</v>
      </c>
      <c r="H86" s="50" t="s">
        <v>265</v>
      </c>
      <c r="I86" s="23"/>
      <c r="J86" s="23"/>
      <c r="K86" s="23"/>
      <c r="L86" s="23"/>
      <c r="M86" s="10"/>
      <c r="N86" s="10"/>
      <c r="O86" s="10"/>
      <c r="P86" s="10"/>
      <c r="Q86" s="11" t="s">
        <v>1283</v>
      </c>
      <c r="R86" s="11" t="s">
        <v>369</v>
      </c>
      <c r="S86" s="11"/>
      <c r="T86" s="77"/>
      <c r="U86" s="56"/>
      <c r="V86" s="100"/>
      <c r="W86" s="56"/>
      <c r="X86" s="56"/>
      <c r="Y86" s="56"/>
      <c r="AA86" s="56"/>
      <c r="AC86" s="117" t="s">
        <v>1340</v>
      </c>
    </row>
    <row r="87" spans="1:29" ht="46" x14ac:dyDescent="0.35">
      <c r="A87" s="56"/>
      <c r="B87" s="59" t="s">
        <v>295</v>
      </c>
      <c r="C87" s="16" t="s">
        <v>2</v>
      </c>
      <c r="D87" s="17" t="s">
        <v>66</v>
      </c>
      <c r="E87" s="18" t="s">
        <v>1830</v>
      </c>
      <c r="F87" s="52" t="s">
        <v>1831</v>
      </c>
      <c r="G87" s="19" t="s">
        <v>5</v>
      </c>
      <c r="H87" s="49" t="s">
        <v>265</v>
      </c>
      <c r="I87" s="52"/>
      <c r="J87" s="52"/>
      <c r="K87" s="52"/>
      <c r="L87" s="31"/>
      <c r="M87" s="10" t="s">
        <v>258</v>
      </c>
      <c r="N87" s="10" t="s">
        <v>26</v>
      </c>
      <c r="O87" s="10" t="s">
        <v>258</v>
      </c>
      <c r="P87" s="10" t="s">
        <v>26</v>
      </c>
      <c r="Q87" s="11" t="s">
        <v>1283</v>
      </c>
      <c r="R87" s="11" t="s">
        <v>1283</v>
      </c>
      <c r="S87" s="11" t="s">
        <v>1285</v>
      </c>
      <c r="T87" s="77"/>
      <c r="U87" s="56"/>
      <c r="V87" s="56"/>
      <c r="W87" s="56"/>
      <c r="X87" s="56"/>
      <c r="Y87" s="56"/>
      <c r="AA87" s="56"/>
    </row>
    <row r="88" spans="1:29" ht="34.5" x14ac:dyDescent="0.35">
      <c r="A88" s="56"/>
      <c r="B88" s="59" t="s">
        <v>295</v>
      </c>
      <c r="C88" s="20" t="s">
        <v>3</v>
      </c>
      <c r="D88" s="21" t="s">
        <v>1832</v>
      </c>
      <c r="E88" s="22" t="s">
        <v>1834</v>
      </c>
      <c r="F88" s="23" t="s">
        <v>1855</v>
      </c>
      <c r="G88" s="23" t="s">
        <v>5</v>
      </c>
      <c r="H88" s="50" t="s">
        <v>265</v>
      </c>
      <c r="I88" s="23"/>
      <c r="J88" s="23"/>
      <c r="K88" s="23"/>
      <c r="L88" s="29"/>
      <c r="M88" s="10" t="s">
        <v>258</v>
      </c>
      <c r="N88" s="10" t="s">
        <v>774</v>
      </c>
      <c r="O88" s="10" t="s">
        <v>258</v>
      </c>
      <c r="P88" s="10" t="s">
        <v>258</v>
      </c>
      <c r="Q88" s="11" t="s">
        <v>1283</v>
      </c>
      <c r="R88" s="11" t="s">
        <v>1283</v>
      </c>
      <c r="S88" s="11" t="s">
        <v>1285</v>
      </c>
      <c r="T88" s="77"/>
      <c r="U88" s="56"/>
      <c r="V88" s="56"/>
      <c r="W88" s="56"/>
      <c r="X88" s="56"/>
      <c r="Y88" s="56"/>
      <c r="AA88" s="56"/>
    </row>
    <row r="89" spans="1:29" ht="34.5" x14ac:dyDescent="0.35">
      <c r="A89" s="56"/>
      <c r="B89" s="59" t="s">
        <v>1850</v>
      </c>
      <c r="C89" s="20" t="s">
        <v>3</v>
      </c>
      <c r="D89" s="21" t="s">
        <v>1833</v>
      </c>
      <c r="E89" s="22" t="s">
        <v>287</v>
      </c>
      <c r="F89" s="23" t="s">
        <v>1849</v>
      </c>
      <c r="G89" s="23" t="s">
        <v>5</v>
      </c>
      <c r="H89" s="50" t="s">
        <v>267</v>
      </c>
      <c r="I89" s="23"/>
      <c r="J89" s="23"/>
      <c r="K89" s="23"/>
      <c r="L89" s="29"/>
      <c r="M89" s="10" t="s">
        <v>773</v>
      </c>
      <c r="N89" s="10" t="s">
        <v>774</v>
      </c>
      <c r="O89" s="10" t="s">
        <v>258</v>
      </c>
      <c r="P89" s="10" t="s">
        <v>258</v>
      </c>
      <c r="Q89" s="11" t="s">
        <v>1283</v>
      </c>
      <c r="R89" s="11" t="s">
        <v>1283</v>
      </c>
      <c r="S89" s="11" t="s">
        <v>1285</v>
      </c>
      <c r="T89" s="77"/>
      <c r="U89" s="56"/>
      <c r="V89" s="56"/>
      <c r="W89" s="56"/>
      <c r="X89" s="56"/>
      <c r="Y89" s="56"/>
      <c r="AA89" s="56"/>
    </row>
    <row r="90" spans="1:29" ht="57.5" x14ac:dyDescent="0.35">
      <c r="A90" s="56"/>
      <c r="B90" s="59" t="s">
        <v>295</v>
      </c>
      <c r="C90" s="20" t="s">
        <v>3</v>
      </c>
      <c r="D90" s="21" t="s">
        <v>1835</v>
      </c>
      <c r="E90" s="22" t="s">
        <v>301</v>
      </c>
      <c r="F90" s="54" t="s">
        <v>1856</v>
      </c>
      <c r="G90" s="23" t="s">
        <v>5</v>
      </c>
      <c r="H90" s="50" t="s">
        <v>265</v>
      </c>
      <c r="I90" s="23"/>
      <c r="J90" s="23"/>
      <c r="K90" s="23"/>
      <c r="L90" s="29"/>
      <c r="M90" s="10" t="s">
        <v>258</v>
      </c>
      <c r="N90" s="10" t="s">
        <v>774</v>
      </c>
      <c r="O90" s="10" t="s">
        <v>258</v>
      </c>
      <c r="P90" s="10" t="s">
        <v>258</v>
      </c>
      <c r="Q90" s="11" t="s">
        <v>1283</v>
      </c>
      <c r="R90" s="11" t="s">
        <v>1283</v>
      </c>
      <c r="S90" s="11" t="s">
        <v>1285</v>
      </c>
      <c r="T90" s="77"/>
      <c r="U90" s="56"/>
      <c r="V90" s="85" t="s">
        <v>1085</v>
      </c>
      <c r="W90" s="56"/>
      <c r="X90" s="56"/>
      <c r="Y90" s="56"/>
      <c r="AA90" s="56"/>
    </row>
    <row r="91" spans="1:29" ht="57.5" x14ac:dyDescent="0.35">
      <c r="A91" s="56"/>
      <c r="B91" s="59" t="s">
        <v>295</v>
      </c>
      <c r="C91" s="20" t="s">
        <v>3</v>
      </c>
      <c r="D91" s="21" t="s">
        <v>1836</v>
      </c>
      <c r="E91" s="22" t="s">
        <v>1796</v>
      </c>
      <c r="F91" s="54" t="str">
        <f>"Determine whether customer executed the SOW prior to completion of internal signature-first process (at step "&amp;D78&amp;")"</f>
        <v>Determine whether customer executed the SOW prior to completion of internal signature-first process (at step 1.2.2.12)</v>
      </c>
      <c r="G91" s="105" t="str">
        <f>"Decision 
If yes, proceed to step "&amp;D92&amp;" 
If no, proceed to "&amp;D94&amp;""</f>
        <v>Decision 
If yes, proceed to step 1.2.4.5 
If no, proceed to 1.2.4.7</v>
      </c>
      <c r="H91" s="50" t="s">
        <v>265</v>
      </c>
      <c r="I91" s="23"/>
      <c r="J91" s="23"/>
      <c r="K91" s="23"/>
      <c r="L91" s="29"/>
      <c r="M91" s="10"/>
      <c r="N91" s="10"/>
      <c r="O91" s="10"/>
      <c r="P91" s="10"/>
      <c r="Q91" s="11" t="s">
        <v>1283</v>
      </c>
      <c r="R91" s="11" t="s">
        <v>1283</v>
      </c>
      <c r="S91" s="11" t="s">
        <v>1285</v>
      </c>
      <c r="T91" s="77"/>
      <c r="U91" s="56"/>
      <c r="V91" s="85"/>
      <c r="W91" s="56"/>
      <c r="X91" s="56"/>
      <c r="Y91" s="56"/>
      <c r="AA91" s="56"/>
    </row>
    <row r="92" spans="1:29" ht="80.5" x14ac:dyDescent="0.35">
      <c r="A92" s="56" t="s">
        <v>31</v>
      </c>
      <c r="B92" s="59" t="s">
        <v>316</v>
      </c>
      <c r="C92" s="20" t="s">
        <v>3</v>
      </c>
      <c r="D92" s="21" t="s">
        <v>1837</v>
      </c>
      <c r="E92" s="22" t="s">
        <v>1851</v>
      </c>
      <c r="F92" s="54" t="s">
        <v>1857</v>
      </c>
      <c r="G92" s="23" t="s">
        <v>5</v>
      </c>
      <c r="H92" s="50" t="s">
        <v>265</v>
      </c>
      <c r="I92" s="23"/>
      <c r="J92" s="23"/>
      <c r="K92" s="23"/>
      <c r="L92" s="29"/>
      <c r="M92" s="10"/>
      <c r="N92" s="10"/>
      <c r="O92" s="10"/>
      <c r="P92" s="10"/>
      <c r="Q92" s="11" t="s">
        <v>1283</v>
      </c>
      <c r="R92" s="11" t="s">
        <v>1283</v>
      </c>
      <c r="S92" s="11" t="s">
        <v>1285</v>
      </c>
      <c r="T92" s="77"/>
      <c r="U92" s="56"/>
      <c r="V92" s="85"/>
      <c r="W92" s="56"/>
      <c r="X92" s="56"/>
      <c r="Y92" s="56"/>
      <c r="AA92" s="56"/>
    </row>
    <row r="93" spans="1:29" ht="34.5" x14ac:dyDescent="0.35">
      <c r="A93" s="56"/>
      <c r="B93" s="59" t="s">
        <v>1806</v>
      </c>
      <c r="C93" s="20" t="s">
        <v>3</v>
      </c>
      <c r="D93" s="21" t="s">
        <v>1838</v>
      </c>
      <c r="E93" s="22" t="s">
        <v>1805</v>
      </c>
      <c r="F93" s="54" t="s">
        <v>1852</v>
      </c>
      <c r="G93" s="23" t="s">
        <v>5</v>
      </c>
      <c r="H93" s="50" t="s">
        <v>265</v>
      </c>
      <c r="I93" s="23"/>
      <c r="J93" s="23"/>
      <c r="K93" s="23"/>
      <c r="L93" s="29"/>
      <c r="M93" s="10"/>
      <c r="N93" s="10"/>
      <c r="O93" s="10"/>
      <c r="P93" s="10"/>
      <c r="Q93" s="11" t="s">
        <v>1283</v>
      </c>
      <c r="R93" s="11" t="s">
        <v>1283</v>
      </c>
      <c r="S93" s="11" t="s">
        <v>1285</v>
      </c>
      <c r="T93" s="77"/>
      <c r="U93" s="56"/>
      <c r="V93" s="85"/>
      <c r="W93" s="56"/>
      <c r="X93" s="56"/>
      <c r="Y93" s="56"/>
      <c r="AA93" s="56"/>
    </row>
    <row r="94" spans="1:29" ht="46" x14ac:dyDescent="0.35">
      <c r="A94" s="56" t="s">
        <v>31</v>
      </c>
      <c r="B94" s="59" t="s">
        <v>316</v>
      </c>
      <c r="C94" s="20" t="s">
        <v>3</v>
      </c>
      <c r="D94" s="21" t="s">
        <v>1839</v>
      </c>
      <c r="E94" s="22" t="s">
        <v>1798</v>
      </c>
      <c r="F94" s="23" t="s">
        <v>1858</v>
      </c>
      <c r="G94" s="23" t="s">
        <v>5</v>
      </c>
      <c r="H94" s="50" t="s">
        <v>264</v>
      </c>
      <c r="I94" s="23"/>
      <c r="J94" s="23"/>
      <c r="K94" s="23"/>
      <c r="L94" s="29"/>
      <c r="M94" s="10" t="s">
        <v>258</v>
      </c>
      <c r="N94" s="10" t="s">
        <v>774</v>
      </c>
      <c r="O94" s="10" t="s">
        <v>258</v>
      </c>
      <c r="P94" s="10" t="s">
        <v>258</v>
      </c>
      <c r="Q94" s="11" t="s">
        <v>1284</v>
      </c>
      <c r="R94" s="11" t="s">
        <v>369</v>
      </c>
      <c r="S94" s="11" t="s">
        <v>1285</v>
      </c>
      <c r="T94" s="77"/>
      <c r="U94" s="56"/>
      <c r="V94" s="56"/>
      <c r="W94" s="56"/>
      <c r="X94" s="56"/>
      <c r="Y94" s="56"/>
      <c r="AA94" s="56"/>
    </row>
    <row r="95" spans="1:29" ht="57.5" x14ac:dyDescent="0.35">
      <c r="A95" s="83" t="s">
        <v>31</v>
      </c>
      <c r="B95" s="59" t="s">
        <v>316</v>
      </c>
      <c r="C95" s="20" t="s">
        <v>3</v>
      </c>
      <c r="D95" s="21" t="s">
        <v>1840</v>
      </c>
      <c r="E95" s="22" t="s">
        <v>304</v>
      </c>
      <c r="F95" s="54" t="s">
        <v>1859</v>
      </c>
      <c r="G95" s="105" t="str">
        <f>"Decision 
If yes, proceed to step "&amp;D97&amp;" 
If no, proceed to "&amp;D96&amp;""</f>
        <v>Decision 
If yes, proceed to step 1.2.4.10 
If no, proceed to 1.2.4.9</v>
      </c>
      <c r="H95" s="50" t="s">
        <v>264</v>
      </c>
      <c r="I95" s="23"/>
      <c r="J95" s="23"/>
      <c r="K95" s="23"/>
      <c r="L95" s="23"/>
      <c r="M95" s="10" t="s">
        <v>773</v>
      </c>
      <c r="N95" s="10" t="s">
        <v>774</v>
      </c>
      <c r="O95" s="10" t="s">
        <v>258</v>
      </c>
      <c r="P95" s="10" t="s">
        <v>258</v>
      </c>
      <c r="Q95" s="11" t="s">
        <v>1284</v>
      </c>
      <c r="R95" s="11" t="s">
        <v>1283</v>
      </c>
      <c r="S95" s="11" t="s">
        <v>1285</v>
      </c>
      <c r="T95" s="77"/>
      <c r="U95" s="56"/>
      <c r="V95" s="88" t="s">
        <v>1289</v>
      </c>
      <c r="W95" s="56"/>
      <c r="X95" s="56"/>
      <c r="Y95" s="56"/>
      <c r="AA95" s="56"/>
    </row>
    <row r="96" spans="1:29" ht="103.5" x14ac:dyDescent="0.35">
      <c r="A96" s="83" t="s">
        <v>31</v>
      </c>
      <c r="B96" s="59" t="s">
        <v>316</v>
      </c>
      <c r="C96" s="20" t="s">
        <v>3</v>
      </c>
      <c r="D96" s="21" t="s">
        <v>1841</v>
      </c>
      <c r="E96" s="22" t="s">
        <v>305</v>
      </c>
      <c r="F96" s="23" t="s">
        <v>1872</v>
      </c>
      <c r="G96" s="23" t="s">
        <v>5</v>
      </c>
      <c r="H96" s="50" t="s">
        <v>267</v>
      </c>
      <c r="I96" s="23"/>
      <c r="J96" s="23"/>
      <c r="K96" s="23"/>
      <c r="L96" s="23"/>
      <c r="M96" s="10" t="s">
        <v>773</v>
      </c>
      <c r="N96" s="10" t="s">
        <v>774</v>
      </c>
      <c r="O96" s="10" t="s">
        <v>258</v>
      </c>
      <c r="P96" s="10" t="s">
        <v>258</v>
      </c>
      <c r="Q96" s="11" t="s">
        <v>1283</v>
      </c>
      <c r="R96" s="11" t="s">
        <v>1283</v>
      </c>
      <c r="S96" s="11" t="s">
        <v>1285</v>
      </c>
      <c r="T96" s="77"/>
      <c r="U96" s="56"/>
      <c r="V96" s="56"/>
      <c r="W96" s="56"/>
      <c r="X96" s="56"/>
      <c r="Y96" s="56"/>
      <c r="AA96" s="56"/>
    </row>
    <row r="97" spans="1:29" ht="57.5" x14ac:dyDescent="0.35">
      <c r="A97" s="83" t="s">
        <v>31</v>
      </c>
      <c r="B97" s="59" t="s">
        <v>316</v>
      </c>
      <c r="C97" s="20" t="s">
        <v>3</v>
      </c>
      <c r="D97" s="21" t="s">
        <v>1842</v>
      </c>
      <c r="E97" s="22" t="s">
        <v>1861</v>
      </c>
      <c r="F97" s="23" t="s">
        <v>1862</v>
      </c>
      <c r="G97" s="105" t="str">
        <f>"Decision 
If yes, proceed to step "&amp;D98&amp;" 
If no, proceed to "&amp;D99&amp;""</f>
        <v>Decision 
If yes, proceed to step 1.2.4.11 
If no, proceed to 1.2.4.12</v>
      </c>
      <c r="H97" s="50" t="s">
        <v>264</v>
      </c>
      <c r="I97" s="23"/>
      <c r="J97" s="23"/>
      <c r="K97" s="23"/>
      <c r="L97" s="23"/>
      <c r="M97" s="10"/>
      <c r="N97" s="10"/>
      <c r="O97" s="10"/>
      <c r="P97" s="10"/>
      <c r="Q97" s="11" t="s">
        <v>1284</v>
      </c>
      <c r="R97" s="11" t="s">
        <v>1283</v>
      </c>
      <c r="S97" s="11" t="s">
        <v>1285</v>
      </c>
      <c r="T97" s="77"/>
      <c r="U97" s="56"/>
      <c r="V97" s="56"/>
      <c r="W97" s="56"/>
      <c r="X97" s="56"/>
      <c r="Y97" s="56"/>
      <c r="AA97" s="56"/>
    </row>
    <row r="98" spans="1:29" ht="46" x14ac:dyDescent="0.35">
      <c r="A98" s="83" t="s">
        <v>31</v>
      </c>
      <c r="B98" s="59" t="s">
        <v>316</v>
      </c>
      <c r="C98" s="20" t="s">
        <v>3</v>
      </c>
      <c r="D98" s="21" t="s">
        <v>1843</v>
      </c>
      <c r="E98" s="22" t="s">
        <v>1863</v>
      </c>
      <c r="F98" s="23" t="s">
        <v>1864</v>
      </c>
      <c r="G98" s="23" t="s">
        <v>5</v>
      </c>
      <c r="H98" s="50" t="s">
        <v>265</v>
      </c>
      <c r="I98" s="23"/>
      <c r="J98" s="23"/>
      <c r="K98" s="23"/>
      <c r="L98" s="23"/>
      <c r="M98" s="10"/>
      <c r="N98" s="10"/>
      <c r="O98" s="10"/>
      <c r="P98" s="10"/>
      <c r="Q98" s="11" t="s">
        <v>369</v>
      </c>
      <c r="R98" s="11" t="s">
        <v>369</v>
      </c>
      <c r="S98" s="11" t="s">
        <v>1283</v>
      </c>
      <c r="T98" s="77"/>
      <c r="U98" s="56"/>
      <c r="V98" s="56"/>
      <c r="W98" s="56"/>
      <c r="X98" s="56"/>
      <c r="Y98" s="56"/>
      <c r="AA98" s="56"/>
    </row>
    <row r="99" spans="1:29" ht="57.5" x14ac:dyDescent="0.35">
      <c r="A99" s="83" t="s">
        <v>627</v>
      </c>
      <c r="B99" s="59" t="s">
        <v>83</v>
      </c>
      <c r="C99" s="20" t="s">
        <v>3</v>
      </c>
      <c r="D99" s="21" t="s">
        <v>1844</v>
      </c>
      <c r="E99" s="22" t="s">
        <v>1865</v>
      </c>
      <c r="F99" s="23" t="str">
        <f>"Push approved and executed SOW to PSA and activate project with “Active” status (or update existing project if this is an amendment to an existing project scope). See step "&amp;D118&amp;" for project activation steps"</f>
        <v>Push approved and executed SOW to PSA and activate project with “Active” status (or update existing project if this is an amendment to an existing project scope). See step 1.3 for project activation steps</v>
      </c>
      <c r="G99" s="23" t="s">
        <v>5</v>
      </c>
      <c r="H99" s="50" t="s">
        <v>264</v>
      </c>
      <c r="I99" s="54"/>
      <c r="J99" s="54"/>
      <c r="K99" s="54"/>
      <c r="L99" s="23"/>
      <c r="M99" s="10"/>
      <c r="N99" s="10"/>
      <c r="O99" s="10"/>
      <c r="P99" s="10"/>
      <c r="Q99" s="11" t="s">
        <v>1284</v>
      </c>
      <c r="R99" s="11" t="s">
        <v>1283</v>
      </c>
      <c r="S99" s="11"/>
      <c r="T99" s="77"/>
      <c r="U99" s="56"/>
      <c r="V99" s="56"/>
      <c r="W99" s="56"/>
      <c r="X99" s="56"/>
      <c r="Y99" s="56"/>
      <c r="AA99" s="56"/>
    </row>
    <row r="100" spans="1:29" ht="58" x14ac:dyDescent="0.35">
      <c r="A100" s="83" t="s">
        <v>31</v>
      </c>
      <c r="B100" s="59" t="s">
        <v>316</v>
      </c>
      <c r="C100" s="20" t="s">
        <v>3</v>
      </c>
      <c r="D100" s="21" t="s">
        <v>1845</v>
      </c>
      <c r="E100" s="22" t="s">
        <v>1867</v>
      </c>
      <c r="F100" s="54" t="s">
        <v>1866</v>
      </c>
      <c r="G100" s="23" t="s">
        <v>5</v>
      </c>
      <c r="H100" s="50" t="s">
        <v>264</v>
      </c>
      <c r="I100" s="23" t="s">
        <v>1331</v>
      </c>
      <c r="J100" s="23" t="s">
        <v>1331</v>
      </c>
      <c r="K100" s="23" t="s">
        <v>1331</v>
      </c>
      <c r="L100" s="23" t="s">
        <v>1331</v>
      </c>
      <c r="M100" s="10" t="s">
        <v>81</v>
      </c>
      <c r="N100" s="10" t="s">
        <v>81</v>
      </c>
      <c r="O100" s="10" t="s">
        <v>81</v>
      </c>
      <c r="P100" s="10" t="s">
        <v>81</v>
      </c>
      <c r="Q100" s="11" t="s">
        <v>1284</v>
      </c>
      <c r="R100" s="11" t="s">
        <v>1283</v>
      </c>
      <c r="S100" s="11"/>
      <c r="T100" s="77"/>
      <c r="U100" s="56"/>
      <c r="V100" s="100"/>
      <c r="W100" s="56"/>
      <c r="X100" s="56"/>
      <c r="Y100" s="56"/>
      <c r="AA100" s="56"/>
      <c r="AC100" s="117" t="s">
        <v>1332</v>
      </c>
    </row>
    <row r="101" spans="1:29" ht="46" x14ac:dyDescent="0.35">
      <c r="A101" s="83"/>
      <c r="B101" s="59" t="s">
        <v>37</v>
      </c>
      <c r="C101" s="20" t="s">
        <v>3</v>
      </c>
      <c r="D101" s="21" t="s">
        <v>1846</v>
      </c>
      <c r="E101" s="22" t="s">
        <v>1880</v>
      </c>
      <c r="F101" s="54" t="str">
        <f>"Initiate creation or update of customer master data records for identified client affiliate entities (at step "&amp;D67&amp;") required to support downstream contracting, billing, invoicing and reporting processes"</f>
        <v>Initiate creation or update of customer master data records for identified client affiliate entities (at step 1.2.2.1) required to support downstream contracting, billing, invoicing and reporting processes</v>
      </c>
      <c r="G101" s="23" t="s">
        <v>5</v>
      </c>
      <c r="H101" s="50" t="s">
        <v>267</v>
      </c>
      <c r="I101" s="54"/>
      <c r="J101" s="54"/>
      <c r="K101" s="54"/>
      <c r="L101" s="23"/>
      <c r="M101" s="10"/>
      <c r="N101" s="10"/>
      <c r="O101" s="10"/>
      <c r="P101" s="10"/>
      <c r="Q101" s="11" t="s">
        <v>1283</v>
      </c>
      <c r="R101" s="11" t="s">
        <v>1283</v>
      </c>
      <c r="S101" s="11"/>
      <c r="T101" s="77"/>
      <c r="U101" s="56"/>
      <c r="V101" s="56"/>
      <c r="W101" s="56"/>
      <c r="X101" s="56"/>
      <c r="Y101" s="56"/>
      <c r="AA101" s="56"/>
    </row>
    <row r="102" spans="1:29" ht="57.5" x14ac:dyDescent="0.35">
      <c r="A102" s="83"/>
      <c r="B102" s="59" t="s">
        <v>1666</v>
      </c>
      <c r="C102" s="20" t="s">
        <v>3</v>
      </c>
      <c r="D102" s="21" t="s">
        <v>1847</v>
      </c>
      <c r="E102" s="22" t="s">
        <v>1784</v>
      </c>
      <c r="F102" s="54" t="s">
        <v>1785</v>
      </c>
      <c r="G102" s="23" t="s">
        <v>5</v>
      </c>
      <c r="H102" s="50" t="s">
        <v>267</v>
      </c>
      <c r="I102" s="54"/>
      <c r="J102" s="54"/>
      <c r="K102" s="54"/>
      <c r="L102" s="23"/>
      <c r="M102" s="10"/>
      <c r="N102" s="10"/>
      <c r="O102" s="10"/>
      <c r="P102" s="10"/>
      <c r="Q102" s="11" t="s">
        <v>1283</v>
      </c>
      <c r="R102" s="11" t="s">
        <v>1283</v>
      </c>
      <c r="S102" s="11"/>
      <c r="T102" s="77"/>
      <c r="U102" s="56"/>
      <c r="V102" s="56"/>
      <c r="W102" s="56"/>
      <c r="X102" s="56"/>
      <c r="Y102" s="56"/>
      <c r="AA102" s="56"/>
    </row>
    <row r="103" spans="1:29" ht="46" x14ac:dyDescent="0.35">
      <c r="A103" s="56" t="s">
        <v>31</v>
      </c>
      <c r="B103" s="59" t="s">
        <v>316</v>
      </c>
      <c r="C103" s="20" t="s">
        <v>3</v>
      </c>
      <c r="D103" s="21" t="s">
        <v>1848</v>
      </c>
      <c r="E103" s="22" t="s">
        <v>1458</v>
      </c>
      <c r="F103" s="54" t="s">
        <v>1869</v>
      </c>
      <c r="G103" s="105" t="str">
        <f>"Decision 
If yes, proceed to step "&amp;D125&amp;" 
If no, proceed to "&amp;D104&amp;""</f>
        <v>Decision 
If yes, proceed to step 1.3.7 
If no, proceed to 1.2.5</v>
      </c>
      <c r="H103" s="50" t="s">
        <v>265</v>
      </c>
      <c r="I103" s="23"/>
      <c r="J103" s="23"/>
      <c r="K103" s="23"/>
      <c r="L103" s="23"/>
      <c r="M103" s="10"/>
      <c r="N103" s="10"/>
      <c r="O103" s="10"/>
      <c r="P103" s="10"/>
      <c r="Q103" s="11" t="s">
        <v>69</v>
      </c>
      <c r="R103" s="11" t="s">
        <v>1283</v>
      </c>
      <c r="S103" s="11"/>
      <c r="T103" s="77"/>
      <c r="U103" s="56"/>
      <c r="V103" s="100"/>
      <c r="W103" s="56"/>
      <c r="X103" s="56"/>
      <c r="Y103" s="56"/>
      <c r="AA103" s="56"/>
    </row>
    <row r="104" spans="1:29" ht="57.5" x14ac:dyDescent="0.35">
      <c r="A104" s="56" t="s">
        <v>31</v>
      </c>
      <c r="B104" s="59" t="s">
        <v>1871</v>
      </c>
      <c r="C104" s="16" t="s">
        <v>2</v>
      </c>
      <c r="D104" s="17" t="s">
        <v>67</v>
      </c>
      <c r="E104" s="18" t="s">
        <v>68</v>
      </c>
      <c r="F104" s="52" t="s">
        <v>1873</v>
      </c>
      <c r="G104" s="19" t="s">
        <v>5</v>
      </c>
      <c r="H104" s="49" t="s">
        <v>265</v>
      </c>
      <c r="I104" s="52" t="s">
        <v>441</v>
      </c>
      <c r="J104" s="52" t="s">
        <v>440</v>
      </c>
      <c r="K104" s="52" t="s">
        <v>442</v>
      </c>
      <c r="L104" s="52" t="s">
        <v>443</v>
      </c>
      <c r="M104" s="10" t="s">
        <v>777</v>
      </c>
      <c r="N104" s="10" t="s">
        <v>26</v>
      </c>
      <c r="O104" s="10" t="s">
        <v>777</v>
      </c>
      <c r="P104" s="10" t="s">
        <v>26</v>
      </c>
      <c r="Q104" s="11" t="s">
        <v>1283</v>
      </c>
      <c r="R104" s="11" t="s">
        <v>1283</v>
      </c>
      <c r="S104" s="11"/>
      <c r="T104" s="77"/>
      <c r="U104" s="56"/>
      <c r="V104" s="56"/>
      <c r="W104" s="56"/>
      <c r="X104" s="56"/>
      <c r="Y104" s="56"/>
      <c r="AA104" s="56"/>
    </row>
    <row r="105" spans="1:29" ht="46" x14ac:dyDescent="0.35">
      <c r="A105" s="56"/>
      <c r="B105" s="59" t="s">
        <v>70</v>
      </c>
      <c r="C105" s="20" t="s">
        <v>3</v>
      </c>
      <c r="D105" s="21" t="s">
        <v>71</v>
      </c>
      <c r="E105" s="22" t="s">
        <v>317</v>
      </c>
      <c r="F105" s="23" t="s">
        <v>1874</v>
      </c>
      <c r="G105" s="105" t="str">
        <f>"Decision 
If yes, proceed to step "&amp;D106&amp;" 
If no, proceed to "&amp;D112&amp;""</f>
        <v>Decision 
If yes, proceed to step 1.2.5.2 
If no, proceed to 1.2.6</v>
      </c>
      <c r="H105" s="50" t="s">
        <v>267</v>
      </c>
      <c r="I105" s="23"/>
      <c r="J105" s="23"/>
      <c r="K105" s="23"/>
      <c r="L105" s="29"/>
      <c r="M105" s="10" t="s">
        <v>258</v>
      </c>
      <c r="N105" s="10" t="s">
        <v>774</v>
      </c>
      <c r="O105" s="10" t="s">
        <v>258</v>
      </c>
      <c r="P105" s="10" t="s">
        <v>258</v>
      </c>
      <c r="Q105" s="11" t="s">
        <v>1283</v>
      </c>
      <c r="R105" s="11" t="s">
        <v>1283</v>
      </c>
      <c r="S105" s="11"/>
      <c r="T105" s="77"/>
      <c r="U105" s="56"/>
      <c r="V105" s="56"/>
      <c r="W105" s="56"/>
      <c r="X105" s="56"/>
      <c r="Y105" s="56"/>
      <c r="AA105" s="56"/>
    </row>
    <row r="106" spans="1:29" ht="115" x14ac:dyDescent="0.35">
      <c r="A106" s="83" t="s">
        <v>31</v>
      </c>
      <c r="B106" s="59" t="s">
        <v>316</v>
      </c>
      <c r="C106" s="20" t="s">
        <v>3</v>
      </c>
      <c r="D106" s="21" t="s">
        <v>72</v>
      </c>
      <c r="E106" s="22" t="s">
        <v>315</v>
      </c>
      <c r="F106" s="23" t="s">
        <v>1875</v>
      </c>
      <c r="G106" s="23" t="s">
        <v>5</v>
      </c>
      <c r="H106" s="50" t="s">
        <v>265</v>
      </c>
      <c r="I106" s="23"/>
      <c r="J106" s="23"/>
      <c r="K106" s="23"/>
      <c r="L106" s="29"/>
      <c r="M106" s="10"/>
      <c r="N106" s="10"/>
      <c r="O106" s="10"/>
      <c r="P106" s="10"/>
      <c r="Q106" s="11" t="s">
        <v>1283</v>
      </c>
      <c r="R106" s="11" t="s">
        <v>1283</v>
      </c>
      <c r="S106" s="11"/>
      <c r="T106" s="77"/>
      <c r="U106" s="56"/>
      <c r="V106" s="56"/>
      <c r="W106" s="56"/>
      <c r="X106" s="56"/>
      <c r="Y106" s="56"/>
      <c r="AA106" s="56"/>
    </row>
    <row r="107" spans="1:29" ht="57.5" x14ac:dyDescent="0.35">
      <c r="A107" s="83" t="s">
        <v>31</v>
      </c>
      <c r="B107" s="59" t="s">
        <v>316</v>
      </c>
      <c r="C107" s="20" t="s">
        <v>3</v>
      </c>
      <c r="D107" s="21" t="s">
        <v>73</v>
      </c>
      <c r="E107" s="22" t="s">
        <v>1877</v>
      </c>
      <c r="F107" s="23" t="s">
        <v>1876</v>
      </c>
      <c r="G107" s="23" t="s">
        <v>5</v>
      </c>
      <c r="H107" s="50" t="s">
        <v>264</v>
      </c>
      <c r="I107" s="23"/>
      <c r="J107" s="23"/>
      <c r="K107" s="23"/>
      <c r="L107" s="29"/>
      <c r="M107" s="10"/>
      <c r="N107" s="10"/>
      <c r="O107" s="10"/>
      <c r="P107" s="10"/>
      <c r="Q107" s="11" t="s">
        <v>1284</v>
      </c>
      <c r="R107" s="11" t="s">
        <v>1283</v>
      </c>
      <c r="S107" s="11"/>
      <c r="T107" s="77"/>
      <c r="U107" s="56"/>
      <c r="V107" s="56"/>
      <c r="W107" s="56"/>
      <c r="X107" s="56"/>
      <c r="Y107" s="56"/>
      <c r="AA107" s="56"/>
    </row>
    <row r="108" spans="1:29" ht="57.5" x14ac:dyDescent="0.35">
      <c r="A108" s="83" t="s">
        <v>31</v>
      </c>
      <c r="B108" s="59" t="s">
        <v>316</v>
      </c>
      <c r="C108" s="20" t="s">
        <v>3</v>
      </c>
      <c r="D108" s="21" t="s">
        <v>75</v>
      </c>
      <c r="E108" s="22" t="s">
        <v>74</v>
      </c>
      <c r="F108" s="54" t="s">
        <v>1878</v>
      </c>
      <c r="G108" s="54" t="str">
        <f>"Decision 
If yes, proceed to step "&amp;D112&amp;" 
If no, proceed to "&amp;D109&amp;""</f>
        <v>Decision 
If yes, proceed to step 1.2.6 
If no, proceed to 1.2.5.5</v>
      </c>
      <c r="H108" s="50" t="s">
        <v>264</v>
      </c>
      <c r="I108" s="23"/>
      <c r="J108" s="23"/>
      <c r="K108" s="23"/>
      <c r="L108" s="29"/>
      <c r="M108" s="10" t="s">
        <v>81</v>
      </c>
      <c r="N108" s="10" t="s">
        <v>26</v>
      </c>
      <c r="O108" s="10" t="s">
        <v>81</v>
      </c>
      <c r="P108" s="10" t="s">
        <v>26</v>
      </c>
      <c r="Q108" s="11" t="s">
        <v>1312</v>
      </c>
      <c r="R108" s="11" t="s">
        <v>1283</v>
      </c>
      <c r="S108" s="11"/>
      <c r="T108" s="77"/>
      <c r="U108" s="99" t="s">
        <v>838</v>
      </c>
      <c r="V108" s="56"/>
      <c r="W108" s="56"/>
      <c r="X108" s="56"/>
      <c r="Y108" s="56"/>
      <c r="AA108" s="56"/>
    </row>
    <row r="109" spans="1:29" ht="46" x14ac:dyDescent="0.35">
      <c r="A109" s="83" t="s">
        <v>31</v>
      </c>
      <c r="B109" s="59" t="s">
        <v>316</v>
      </c>
      <c r="C109" s="20" t="s">
        <v>3</v>
      </c>
      <c r="D109" s="21" t="s">
        <v>76</v>
      </c>
      <c r="E109" s="22" t="s">
        <v>307</v>
      </c>
      <c r="F109" s="54" t="s">
        <v>1879</v>
      </c>
      <c r="G109" s="23" t="s">
        <v>5</v>
      </c>
      <c r="H109" s="50" t="s">
        <v>267</v>
      </c>
      <c r="I109" s="23"/>
      <c r="J109" s="23"/>
      <c r="K109" s="23"/>
      <c r="L109" s="29"/>
      <c r="M109" s="10" t="s">
        <v>777</v>
      </c>
      <c r="N109" s="10" t="s">
        <v>26</v>
      </c>
      <c r="O109" s="10" t="s">
        <v>777</v>
      </c>
      <c r="P109" s="10" t="s">
        <v>26</v>
      </c>
      <c r="Q109" s="11" t="s">
        <v>69</v>
      </c>
      <c r="R109" s="11" t="s">
        <v>1283</v>
      </c>
      <c r="S109" s="11" t="s">
        <v>1283</v>
      </c>
      <c r="T109" s="77"/>
      <c r="U109" s="56"/>
      <c r="V109" s="56"/>
      <c r="W109" s="56"/>
      <c r="X109" s="56"/>
      <c r="Y109" s="56"/>
      <c r="AA109" s="56"/>
    </row>
    <row r="110" spans="1:29" ht="57.5" x14ac:dyDescent="0.35">
      <c r="A110" s="83" t="s">
        <v>31</v>
      </c>
      <c r="B110" s="59" t="s">
        <v>316</v>
      </c>
      <c r="C110" s="20" t="s">
        <v>3</v>
      </c>
      <c r="D110" s="21" t="s">
        <v>77</v>
      </c>
      <c r="E110" s="22" t="s">
        <v>1914</v>
      </c>
      <c r="F110" s="54" t="s">
        <v>1915</v>
      </c>
      <c r="G110" s="23" t="s">
        <v>5</v>
      </c>
      <c r="H110" s="50" t="s">
        <v>264</v>
      </c>
      <c r="I110" s="23" t="s">
        <v>1331</v>
      </c>
      <c r="J110" s="23" t="s">
        <v>1331</v>
      </c>
      <c r="K110" s="23" t="s">
        <v>1331</v>
      </c>
      <c r="L110" s="23" t="s">
        <v>1331</v>
      </c>
      <c r="M110" s="10" t="s">
        <v>81</v>
      </c>
      <c r="N110" s="10" t="s">
        <v>81</v>
      </c>
      <c r="O110" s="10" t="s">
        <v>81</v>
      </c>
      <c r="P110" s="10" t="s">
        <v>81</v>
      </c>
      <c r="Q110" s="11" t="s">
        <v>1284</v>
      </c>
      <c r="R110" s="11" t="s">
        <v>1283</v>
      </c>
      <c r="S110" s="11"/>
      <c r="T110" s="77"/>
      <c r="U110" s="56"/>
      <c r="V110" s="56"/>
      <c r="W110" s="56"/>
      <c r="X110" s="56"/>
      <c r="Y110" s="56"/>
      <c r="AA110" s="56"/>
    </row>
    <row r="111" spans="1:29" ht="69" x14ac:dyDescent="0.35">
      <c r="A111" s="83"/>
      <c r="B111" s="59" t="s">
        <v>37</v>
      </c>
      <c r="C111" s="20" t="s">
        <v>3</v>
      </c>
      <c r="D111" s="21" t="s">
        <v>306</v>
      </c>
      <c r="E111" s="22" t="s">
        <v>1880</v>
      </c>
      <c r="F111" s="54" t="s">
        <v>1881</v>
      </c>
      <c r="G111" s="23" t="s">
        <v>5</v>
      </c>
      <c r="H111" s="50" t="s">
        <v>267</v>
      </c>
      <c r="I111" s="54"/>
      <c r="J111" s="54"/>
      <c r="K111" s="54"/>
      <c r="L111" s="23"/>
      <c r="M111" s="10"/>
      <c r="N111" s="10"/>
      <c r="O111" s="10"/>
      <c r="P111" s="10"/>
      <c r="Q111" s="11" t="s">
        <v>1283</v>
      </c>
      <c r="R111" s="11" t="s">
        <v>1283</v>
      </c>
      <c r="S111" s="11"/>
      <c r="T111" s="77"/>
      <c r="U111" s="56"/>
      <c r="V111" s="56"/>
      <c r="W111" s="56"/>
      <c r="X111" s="56"/>
      <c r="Y111" s="56"/>
      <c r="AA111" s="56"/>
    </row>
    <row r="112" spans="1:29" ht="69" x14ac:dyDescent="0.35">
      <c r="A112" s="56"/>
      <c r="B112" s="59" t="s">
        <v>1050</v>
      </c>
      <c r="C112" s="16" t="s">
        <v>2</v>
      </c>
      <c r="D112" s="17" t="s">
        <v>78</v>
      </c>
      <c r="E112" s="18" t="s">
        <v>1882</v>
      </c>
      <c r="F112" s="52" t="s">
        <v>1883</v>
      </c>
      <c r="G112" s="19" t="s">
        <v>5</v>
      </c>
      <c r="H112" s="49" t="s">
        <v>264</v>
      </c>
      <c r="I112" s="52" t="s">
        <v>445</v>
      </c>
      <c r="J112" s="52" t="s">
        <v>444</v>
      </c>
      <c r="K112" s="52" t="s">
        <v>446</v>
      </c>
      <c r="L112" s="52" t="s">
        <v>283</v>
      </c>
      <c r="M112" s="10" t="s">
        <v>81</v>
      </c>
      <c r="N112" s="10" t="s">
        <v>26</v>
      </c>
      <c r="O112" s="10" t="s">
        <v>81</v>
      </c>
      <c r="P112" s="10" t="s">
        <v>26</v>
      </c>
      <c r="Q112" s="11" t="s">
        <v>1312</v>
      </c>
      <c r="R112" s="11" t="s">
        <v>69</v>
      </c>
      <c r="S112" s="11"/>
      <c r="T112" s="77"/>
      <c r="U112" s="56"/>
      <c r="V112" s="56"/>
      <c r="W112" s="56"/>
      <c r="X112" s="56"/>
      <c r="Y112" s="56"/>
      <c r="AA112" s="56"/>
    </row>
    <row r="113" spans="1:29" ht="46" x14ac:dyDescent="0.35">
      <c r="A113" s="83"/>
      <c r="B113" s="59" t="s">
        <v>37</v>
      </c>
      <c r="C113" s="20" t="s">
        <v>3</v>
      </c>
      <c r="D113" s="21" t="s">
        <v>318</v>
      </c>
      <c r="E113" s="22" t="s">
        <v>319</v>
      </c>
      <c r="F113" s="54" t="s">
        <v>1888</v>
      </c>
      <c r="G113" s="23" t="s">
        <v>5</v>
      </c>
      <c r="H113" s="50" t="s">
        <v>264</v>
      </c>
      <c r="I113" s="54"/>
      <c r="J113" s="54"/>
      <c r="K113" s="54"/>
      <c r="L113" s="29"/>
      <c r="M113" s="10" t="s">
        <v>81</v>
      </c>
      <c r="N113" s="10" t="s">
        <v>770</v>
      </c>
      <c r="O113" s="10" t="s">
        <v>81</v>
      </c>
      <c r="P113" s="10" t="s">
        <v>770</v>
      </c>
      <c r="Q113" s="11" t="s">
        <v>1312</v>
      </c>
      <c r="R113" s="11" t="s">
        <v>69</v>
      </c>
      <c r="S113" s="11"/>
      <c r="T113" s="77"/>
      <c r="U113" s="56"/>
      <c r="V113" s="56"/>
      <c r="W113" s="56"/>
      <c r="X113" s="56"/>
      <c r="Y113" s="56"/>
      <c r="AA113" s="56"/>
    </row>
    <row r="114" spans="1:29" ht="46" x14ac:dyDescent="0.35">
      <c r="A114" s="83"/>
      <c r="B114" s="59" t="s">
        <v>37</v>
      </c>
      <c r="C114" s="20" t="s">
        <v>3</v>
      </c>
      <c r="D114" s="21" t="s">
        <v>323</v>
      </c>
      <c r="E114" s="22" t="s">
        <v>320</v>
      </c>
      <c r="F114" s="54" t="s">
        <v>1884</v>
      </c>
      <c r="G114" s="23" t="s">
        <v>5</v>
      </c>
      <c r="H114" s="50" t="s">
        <v>264</v>
      </c>
      <c r="I114" s="54"/>
      <c r="J114" s="54"/>
      <c r="K114" s="54"/>
      <c r="L114" s="29"/>
      <c r="M114" s="10" t="s">
        <v>81</v>
      </c>
      <c r="N114" s="10" t="s">
        <v>770</v>
      </c>
      <c r="O114" s="10" t="s">
        <v>81</v>
      </c>
      <c r="P114" s="10" t="s">
        <v>770</v>
      </c>
      <c r="Q114" s="11" t="s">
        <v>1312</v>
      </c>
      <c r="R114" s="11" t="s">
        <v>69</v>
      </c>
      <c r="S114" s="11"/>
      <c r="T114" s="77"/>
      <c r="U114" s="56"/>
      <c r="V114" s="56"/>
      <c r="W114" s="56"/>
      <c r="X114" s="56"/>
      <c r="Y114" s="56"/>
      <c r="AA114" s="56"/>
    </row>
    <row r="115" spans="1:29" ht="46" x14ac:dyDescent="0.35">
      <c r="A115" s="83"/>
      <c r="B115" s="59" t="s">
        <v>37</v>
      </c>
      <c r="C115" s="20" t="s">
        <v>3</v>
      </c>
      <c r="D115" s="21" t="s">
        <v>324</v>
      </c>
      <c r="E115" s="22" t="s">
        <v>1885</v>
      </c>
      <c r="F115" s="54" t="s">
        <v>1886</v>
      </c>
      <c r="G115" s="23" t="s">
        <v>5</v>
      </c>
      <c r="H115" s="50" t="s">
        <v>264</v>
      </c>
      <c r="I115" s="54"/>
      <c r="J115" s="54"/>
      <c r="K115" s="54"/>
      <c r="L115" s="29"/>
      <c r="M115" s="10" t="s">
        <v>81</v>
      </c>
      <c r="N115" s="10" t="s">
        <v>106</v>
      </c>
      <c r="O115" s="10" t="s">
        <v>81</v>
      </c>
      <c r="P115" s="10" t="s">
        <v>770</v>
      </c>
      <c r="Q115" s="11" t="s">
        <v>1312</v>
      </c>
      <c r="R115" s="11" t="s">
        <v>69</v>
      </c>
      <c r="S115" s="11"/>
      <c r="T115" s="77"/>
      <c r="U115" s="56"/>
      <c r="V115" s="56"/>
      <c r="W115" s="56"/>
      <c r="X115" s="56"/>
      <c r="Y115" s="56"/>
      <c r="AA115" s="56"/>
    </row>
    <row r="116" spans="1:29" ht="46" x14ac:dyDescent="0.35">
      <c r="A116" s="83"/>
      <c r="B116" s="59" t="s">
        <v>37</v>
      </c>
      <c r="C116" s="20" t="s">
        <v>3</v>
      </c>
      <c r="D116" s="21" t="s">
        <v>325</v>
      </c>
      <c r="E116" s="22" t="s">
        <v>321</v>
      </c>
      <c r="F116" s="54" t="s">
        <v>1887</v>
      </c>
      <c r="G116" s="23" t="s">
        <v>5</v>
      </c>
      <c r="H116" s="50" t="s">
        <v>264</v>
      </c>
      <c r="I116" s="54"/>
      <c r="J116" s="54"/>
      <c r="K116" s="54"/>
      <c r="L116" s="29"/>
      <c r="M116" s="10" t="s">
        <v>81</v>
      </c>
      <c r="N116" s="10" t="s">
        <v>779</v>
      </c>
      <c r="O116" s="10" t="s">
        <v>81</v>
      </c>
      <c r="P116" s="10" t="s">
        <v>779</v>
      </c>
      <c r="Q116" s="11" t="s">
        <v>1312</v>
      </c>
      <c r="R116" s="11" t="s">
        <v>69</v>
      </c>
      <c r="S116" s="11"/>
      <c r="T116" s="77"/>
      <c r="U116" s="56"/>
      <c r="V116" s="56"/>
      <c r="W116" s="56"/>
      <c r="X116" s="56"/>
      <c r="Y116" s="56"/>
      <c r="AA116" s="56"/>
    </row>
    <row r="117" spans="1:29" ht="69" x14ac:dyDescent="0.35">
      <c r="A117" s="83"/>
      <c r="B117" s="59" t="s">
        <v>124</v>
      </c>
      <c r="C117" s="20" t="s">
        <v>3</v>
      </c>
      <c r="D117" s="21" t="s">
        <v>326</v>
      </c>
      <c r="E117" s="22" t="s">
        <v>322</v>
      </c>
      <c r="F117" s="54" t="s">
        <v>1889</v>
      </c>
      <c r="G117" s="23" t="s">
        <v>5</v>
      </c>
      <c r="H117" s="50" t="s">
        <v>264</v>
      </c>
      <c r="I117" s="54"/>
      <c r="J117" s="54"/>
      <c r="K117" s="54"/>
      <c r="L117" s="29"/>
      <c r="M117" s="10" t="s">
        <v>81</v>
      </c>
      <c r="N117" s="10" t="s">
        <v>81</v>
      </c>
      <c r="O117" s="10" t="s">
        <v>81</v>
      </c>
      <c r="P117" s="10" t="s">
        <v>81</v>
      </c>
      <c r="Q117" s="11" t="s">
        <v>1312</v>
      </c>
      <c r="R117" s="11" t="s">
        <v>69</v>
      </c>
      <c r="S117" s="11"/>
      <c r="T117" s="77"/>
      <c r="U117" s="56"/>
      <c r="V117" s="56"/>
      <c r="W117" s="56"/>
      <c r="X117" s="56"/>
      <c r="Y117" s="56"/>
      <c r="AA117" s="56"/>
    </row>
    <row r="118" spans="1:29" ht="103.5" x14ac:dyDescent="0.35">
      <c r="A118" s="83"/>
      <c r="B118" s="59" t="s">
        <v>1903</v>
      </c>
      <c r="C118" s="12" t="s">
        <v>1</v>
      </c>
      <c r="D118" s="13" t="s">
        <v>79</v>
      </c>
      <c r="E118" s="14" t="s">
        <v>80</v>
      </c>
      <c r="F118" s="15" t="s">
        <v>1906</v>
      </c>
      <c r="G118" s="15" t="s">
        <v>5</v>
      </c>
      <c r="H118" s="48" t="s">
        <v>265</v>
      </c>
      <c r="I118" s="15" t="s">
        <v>448</v>
      </c>
      <c r="J118" s="15" t="s">
        <v>447</v>
      </c>
      <c r="K118" s="15" t="s">
        <v>449</v>
      </c>
      <c r="L118" s="15" t="s">
        <v>450</v>
      </c>
      <c r="M118" s="10" t="s">
        <v>1105</v>
      </c>
      <c r="N118" s="10" t="s">
        <v>82</v>
      </c>
      <c r="O118" s="10" t="s">
        <v>81</v>
      </c>
      <c r="P118" s="10" t="s">
        <v>25</v>
      </c>
      <c r="Q118" s="11" t="s">
        <v>1283</v>
      </c>
      <c r="R118" s="11" t="s">
        <v>1283</v>
      </c>
      <c r="S118" s="11"/>
      <c r="T118" s="77"/>
      <c r="U118" s="56"/>
      <c r="V118" s="109" t="s">
        <v>1288</v>
      </c>
      <c r="W118" s="56"/>
      <c r="X118" s="56"/>
      <c r="Y118" s="56"/>
      <c r="AA118" s="56"/>
      <c r="AC118" s="117" t="s">
        <v>1313</v>
      </c>
    </row>
    <row r="119" spans="1:29" ht="80.5" x14ac:dyDescent="0.35">
      <c r="A119" s="56" t="s">
        <v>627</v>
      </c>
      <c r="B119" s="59" t="s">
        <v>83</v>
      </c>
      <c r="C119" s="16" t="s">
        <v>2</v>
      </c>
      <c r="D119" s="17" t="s">
        <v>84</v>
      </c>
      <c r="E119" s="18" t="s">
        <v>85</v>
      </c>
      <c r="F119" s="52" t="s">
        <v>1907</v>
      </c>
      <c r="G119" s="19" t="s">
        <v>5</v>
      </c>
      <c r="H119" s="49" t="s">
        <v>265</v>
      </c>
      <c r="I119" s="52" t="s">
        <v>1098</v>
      </c>
      <c r="J119" s="52" t="s">
        <v>451</v>
      </c>
      <c r="K119" s="52" t="s">
        <v>452</v>
      </c>
      <c r="L119" s="52" t="s">
        <v>453</v>
      </c>
      <c r="M119" s="10" t="s">
        <v>81</v>
      </c>
      <c r="N119" s="10" t="s">
        <v>770</v>
      </c>
      <c r="O119" s="10" t="s">
        <v>81</v>
      </c>
      <c r="P119" s="10" t="s">
        <v>780</v>
      </c>
      <c r="Q119" s="11" t="s">
        <v>1283</v>
      </c>
      <c r="R119" s="11" t="s">
        <v>1283</v>
      </c>
      <c r="S119" s="11"/>
      <c r="T119" s="77"/>
      <c r="U119" s="56"/>
      <c r="V119" s="85" t="s">
        <v>1086</v>
      </c>
      <c r="W119" s="56"/>
      <c r="X119" s="56"/>
      <c r="Y119" s="56"/>
      <c r="AA119" s="56"/>
    </row>
    <row r="120" spans="1:29" ht="80.5" x14ac:dyDescent="0.35">
      <c r="A120" s="56" t="s">
        <v>627</v>
      </c>
      <c r="B120" s="59" t="s">
        <v>83</v>
      </c>
      <c r="C120" s="16" t="s">
        <v>2</v>
      </c>
      <c r="D120" s="17" t="s">
        <v>86</v>
      </c>
      <c r="E120" s="18" t="s">
        <v>1890</v>
      </c>
      <c r="F120" s="52" t="s">
        <v>1932</v>
      </c>
      <c r="G120" s="19" t="s">
        <v>5</v>
      </c>
      <c r="H120" s="49" t="s">
        <v>267</v>
      </c>
      <c r="I120" s="52" t="s">
        <v>1099</v>
      </c>
      <c r="J120" s="52" t="s">
        <v>454</v>
      </c>
      <c r="K120" s="52" t="s">
        <v>455</v>
      </c>
      <c r="L120" s="52" t="s">
        <v>456</v>
      </c>
      <c r="M120" s="10" t="s">
        <v>81</v>
      </c>
      <c r="N120" s="10" t="s">
        <v>770</v>
      </c>
      <c r="O120" s="10" t="s">
        <v>81</v>
      </c>
      <c r="P120" s="10" t="s">
        <v>780</v>
      </c>
      <c r="Q120" s="11" t="s">
        <v>1283</v>
      </c>
      <c r="R120" s="11" t="s">
        <v>1283</v>
      </c>
      <c r="S120" s="11"/>
      <c r="T120" s="77"/>
      <c r="U120" s="56"/>
      <c r="V120" s="88" t="s">
        <v>1087</v>
      </c>
      <c r="W120" s="56"/>
      <c r="X120" s="56"/>
      <c r="Y120" s="56"/>
      <c r="AA120" s="56"/>
    </row>
    <row r="121" spans="1:29" ht="149.5" x14ac:dyDescent="0.35">
      <c r="A121" s="56" t="s">
        <v>627</v>
      </c>
      <c r="B121" s="59" t="s">
        <v>83</v>
      </c>
      <c r="C121" s="16" t="s">
        <v>2</v>
      </c>
      <c r="D121" s="17" t="s">
        <v>87</v>
      </c>
      <c r="E121" s="18" t="s">
        <v>1895</v>
      </c>
      <c r="F121" s="52" t="s">
        <v>1908</v>
      </c>
      <c r="G121" s="19" t="s">
        <v>5</v>
      </c>
      <c r="H121" s="49" t="s">
        <v>267</v>
      </c>
      <c r="I121" s="52" t="s">
        <v>1100</v>
      </c>
      <c r="J121" s="52" t="s">
        <v>457</v>
      </c>
      <c r="K121" s="52" t="s">
        <v>458</v>
      </c>
      <c r="L121" s="52" t="s">
        <v>291</v>
      </c>
      <c r="M121" s="10" t="s">
        <v>81</v>
      </c>
      <c r="N121" s="10" t="s">
        <v>779</v>
      </c>
      <c r="O121" s="10" t="s">
        <v>81</v>
      </c>
      <c r="P121" s="10" t="s">
        <v>779</v>
      </c>
      <c r="Q121" s="11" t="s">
        <v>1283</v>
      </c>
      <c r="R121" s="11" t="s">
        <v>1283</v>
      </c>
      <c r="S121" s="11" t="s">
        <v>369</v>
      </c>
      <c r="T121" s="77"/>
      <c r="U121" s="56"/>
      <c r="V121" s="112" t="s">
        <v>1291</v>
      </c>
      <c r="W121" s="56"/>
      <c r="X121" s="56"/>
      <c r="Y121" s="56"/>
      <c r="AA121" s="56"/>
    </row>
    <row r="122" spans="1:29" ht="138" x14ac:dyDescent="0.35">
      <c r="A122" s="56" t="s">
        <v>627</v>
      </c>
      <c r="B122" s="59" t="s">
        <v>83</v>
      </c>
      <c r="C122" s="16" t="s">
        <v>2</v>
      </c>
      <c r="D122" s="17" t="s">
        <v>88</v>
      </c>
      <c r="E122" s="18" t="s">
        <v>1909</v>
      </c>
      <c r="F122" s="52" t="s">
        <v>1896</v>
      </c>
      <c r="G122" s="19" t="s">
        <v>5</v>
      </c>
      <c r="H122" s="49" t="s">
        <v>267</v>
      </c>
      <c r="I122" s="52"/>
      <c r="J122" s="52"/>
      <c r="K122" s="52"/>
      <c r="L122" s="52"/>
      <c r="M122" s="10"/>
      <c r="N122" s="10"/>
      <c r="O122" s="10"/>
      <c r="P122" s="10"/>
      <c r="Q122" s="11" t="s">
        <v>1283</v>
      </c>
      <c r="R122" s="11" t="s">
        <v>1283</v>
      </c>
      <c r="S122" s="11" t="s">
        <v>249</v>
      </c>
      <c r="T122" s="77"/>
      <c r="U122" s="56"/>
      <c r="V122" s="112"/>
      <c r="W122" s="56"/>
      <c r="X122" s="56"/>
      <c r="Y122" s="56"/>
      <c r="AA122" s="56"/>
    </row>
    <row r="123" spans="1:29" ht="69" x14ac:dyDescent="0.35">
      <c r="A123" s="56" t="s">
        <v>627</v>
      </c>
      <c r="B123" s="59" t="s">
        <v>83</v>
      </c>
      <c r="C123" s="16" t="s">
        <v>2</v>
      </c>
      <c r="D123" s="17" t="s">
        <v>89</v>
      </c>
      <c r="E123" s="18" t="s">
        <v>1891</v>
      </c>
      <c r="F123" s="52" t="s">
        <v>1892</v>
      </c>
      <c r="G123" s="19" t="s">
        <v>5</v>
      </c>
      <c r="H123" s="49" t="s">
        <v>264</v>
      </c>
      <c r="I123" s="52"/>
      <c r="J123" s="52"/>
      <c r="K123" s="52"/>
      <c r="L123" s="52"/>
      <c r="M123" s="10"/>
      <c r="N123" s="10"/>
      <c r="O123" s="10"/>
      <c r="P123" s="10"/>
      <c r="Q123" s="11" t="s">
        <v>1983</v>
      </c>
      <c r="R123" s="11" t="s">
        <v>1283</v>
      </c>
      <c r="S123" s="11" t="s">
        <v>2208</v>
      </c>
      <c r="T123" s="77"/>
      <c r="U123" s="56"/>
      <c r="V123" s="112"/>
      <c r="W123" s="56"/>
      <c r="X123" s="56"/>
      <c r="Y123" s="56"/>
      <c r="AA123" s="56"/>
    </row>
    <row r="124" spans="1:29" ht="92" x14ac:dyDescent="0.35">
      <c r="A124" s="56" t="s">
        <v>627</v>
      </c>
      <c r="B124" s="59" t="s">
        <v>357</v>
      </c>
      <c r="C124" s="16" t="s">
        <v>2</v>
      </c>
      <c r="D124" s="17" t="s">
        <v>90</v>
      </c>
      <c r="E124" s="18" t="s">
        <v>1905</v>
      </c>
      <c r="F124" s="52" t="s">
        <v>1897</v>
      </c>
      <c r="G124" s="19" t="s">
        <v>5</v>
      </c>
      <c r="H124" s="49" t="s">
        <v>265</v>
      </c>
      <c r="I124" s="52" t="s">
        <v>460</v>
      </c>
      <c r="J124" s="52" t="s">
        <v>459</v>
      </c>
      <c r="K124" s="52" t="s">
        <v>461</v>
      </c>
      <c r="L124" s="52" t="s">
        <v>284</v>
      </c>
      <c r="M124" s="10" t="s">
        <v>81</v>
      </c>
      <c r="N124" s="10" t="s">
        <v>770</v>
      </c>
      <c r="O124" s="10" t="s">
        <v>81</v>
      </c>
      <c r="P124" s="10" t="s">
        <v>770</v>
      </c>
      <c r="Q124" s="11" t="s">
        <v>1283</v>
      </c>
      <c r="R124" s="11" t="s">
        <v>1283</v>
      </c>
      <c r="S124" s="11"/>
      <c r="T124" s="77"/>
      <c r="U124" s="56"/>
      <c r="V124" s="56"/>
      <c r="W124" s="56"/>
      <c r="X124" s="56"/>
      <c r="Y124" s="56"/>
      <c r="AA124" s="56"/>
    </row>
    <row r="125" spans="1:29" ht="92" x14ac:dyDescent="0.35">
      <c r="A125" s="56" t="s">
        <v>627</v>
      </c>
      <c r="B125" s="59" t="s">
        <v>83</v>
      </c>
      <c r="C125" s="16" t="s">
        <v>2</v>
      </c>
      <c r="D125" s="17" t="s">
        <v>91</v>
      </c>
      <c r="E125" s="18" t="s">
        <v>1337</v>
      </c>
      <c r="F125" s="52" t="s">
        <v>1910</v>
      </c>
      <c r="G125" s="19" t="s">
        <v>5</v>
      </c>
      <c r="H125" s="49" t="s">
        <v>267</v>
      </c>
      <c r="I125" s="52"/>
      <c r="J125" s="52"/>
      <c r="K125" s="52"/>
      <c r="L125" s="52"/>
      <c r="M125" s="10"/>
      <c r="N125" s="10"/>
      <c r="O125" s="10"/>
      <c r="P125" s="10"/>
      <c r="Q125" s="11" t="s">
        <v>1283</v>
      </c>
      <c r="R125" s="11" t="s">
        <v>1283</v>
      </c>
      <c r="S125" s="11"/>
      <c r="T125" s="77"/>
      <c r="U125" s="56"/>
      <c r="V125" s="56"/>
      <c r="W125" s="56"/>
      <c r="X125" s="56"/>
      <c r="Y125" s="56"/>
      <c r="AA125" s="56"/>
    </row>
    <row r="126" spans="1:29" ht="103.5" x14ac:dyDescent="0.35">
      <c r="A126" s="56" t="s">
        <v>627</v>
      </c>
      <c r="B126" s="59" t="s">
        <v>83</v>
      </c>
      <c r="C126" s="16" t="s">
        <v>2</v>
      </c>
      <c r="D126" s="17" t="s">
        <v>92</v>
      </c>
      <c r="E126" s="18" t="s">
        <v>1338</v>
      </c>
      <c r="F126" s="52" t="s">
        <v>1911</v>
      </c>
      <c r="G126" s="19" t="s">
        <v>5</v>
      </c>
      <c r="H126" s="49" t="s">
        <v>267</v>
      </c>
      <c r="I126" s="52" t="s">
        <v>463</v>
      </c>
      <c r="J126" s="52" t="s">
        <v>462</v>
      </c>
      <c r="K126" s="52" t="s">
        <v>464</v>
      </c>
      <c r="L126" s="52" t="s">
        <v>465</v>
      </c>
      <c r="M126" s="10" t="s">
        <v>81</v>
      </c>
      <c r="N126" s="10" t="s">
        <v>146</v>
      </c>
      <c r="O126" s="10" t="s">
        <v>81</v>
      </c>
      <c r="P126" s="10" t="s">
        <v>81</v>
      </c>
      <c r="Q126" s="11" t="s">
        <v>1283</v>
      </c>
      <c r="R126" s="11" t="s">
        <v>1283</v>
      </c>
      <c r="S126" s="11"/>
      <c r="T126" s="77"/>
      <c r="U126" s="56"/>
      <c r="V126" s="88" t="s">
        <v>1088</v>
      </c>
      <c r="W126" s="56"/>
      <c r="X126" s="56"/>
      <c r="Y126" s="56"/>
      <c r="AA126" s="56"/>
    </row>
    <row r="127" spans="1:29" ht="69" x14ac:dyDescent="0.35">
      <c r="A127" s="56" t="s">
        <v>627</v>
      </c>
      <c r="B127" s="59" t="s">
        <v>83</v>
      </c>
      <c r="C127" s="16" t="s">
        <v>2</v>
      </c>
      <c r="D127" s="17" t="s">
        <v>1339</v>
      </c>
      <c r="E127" s="18" t="s">
        <v>1898</v>
      </c>
      <c r="F127" s="52" t="s">
        <v>1899</v>
      </c>
      <c r="G127" s="19" t="s">
        <v>5</v>
      </c>
      <c r="H127" s="49" t="s">
        <v>267</v>
      </c>
      <c r="I127" s="52"/>
      <c r="J127" s="52"/>
      <c r="K127" s="52"/>
      <c r="L127" s="52"/>
      <c r="M127" s="10" t="s">
        <v>81</v>
      </c>
      <c r="N127" s="10" t="s">
        <v>779</v>
      </c>
      <c r="O127" s="10" t="s">
        <v>81</v>
      </c>
      <c r="P127" s="10" t="s">
        <v>779</v>
      </c>
      <c r="Q127" s="11" t="s">
        <v>1283</v>
      </c>
      <c r="R127" s="11" t="s">
        <v>1283</v>
      </c>
      <c r="S127" s="11"/>
      <c r="T127" s="77"/>
      <c r="U127" s="56"/>
      <c r="V127" s="84"/>
      <c r="W127" s="56"/>
      <c r="X127" s="56"/>
      <c r="Y127" s="56"/>
      <c r="AA127" s="56"/>
    </row>
    <row r="128" spans="1:29" ht="69" x14ac:dyDescent="0.35">
      <c r="A128" s="56" t="s">
        <v>627</v>
      </c>
      <c r="B128" s="59" t="s">
        <v>1719</v>
      </c>
      <c r="C128" s="16" t="s">
        <v>2</v>
      </c>
      <c r="D128" s="17" t="s">
        <v>1894</v>
      </c>
      <c r="E128" s="18" t="s">
        <v>1900</v>
      </c>
      <c r="F128" s="52" t="s">
        <v>1912</v>
      </c>
      <c r="G128" s="19" t="s">
        <v>5</v>
      </c>
      <c r="H128" s="49" t="s">
        <v>264</v>
      </c>
      <c r="I128" s="52"/>
      <c r="J128" s="52"/>
      <c r="K128" s="52"/>
      <c r="L128" s="52"/>
      <c r="M128" s="10"/>
      <c r="N128" s="10"/>
      <c r="O128" s="10"/>
      <c r="P128" s="10"/>
      <c r="Q128" s="11" t="s">
        <v>2161</v>
      </c>
      <c r="R128" s="11" t="s">
        <v>1283</v>
      </c>
      <c r="S128" s="11"/>
      <c r="T128" s="77"/>
      <c r="U128" s="56"/>
      <c r="V128" s="84"/>
      <c r="W128" s="56"/>
      <c r="X128" s="56"/>
      <c r="Y128" s="56"/>
      <c r="AA128" s="56"/>
    </row>
    <row r="129" spans="1:29" ht="69" x14ac:dyDescent="0.35">
      <c r="A129" s="56" t="s">
        <v>627</v>
      </c>
      <c r="B129" s="59" t="s">
        <v>1719</v>
      </c>
      <c r="C129" s="16" t="s">
        <v>2</v>
      </c>
      <c r="D129" s="17" t="s">
        <v>1902</v>
      </c>
      <c r="E129" s="18" t="s">
        <v>1978</v>
      </c>
      <c r="F129" s="52" t="s">
        <v>1979</v>
      </c>
      <c r="G129" s="19" t="s">
        <v>5</v>
      </c>
      <c r="H129" s="49" t="s">
        <v>265</v>
      </c>
      <c r="I129" s="52"/>
      <c r="J129" s="52"/>
      <c r="K129" s="52"/>
      <c r="L129" s="52"/>
      <c r="M129" s="10"/>
      <c r="N129" s="10"/>
      <c r="O129" s="10"/>
      <c r="P129" s="10"/>
      <c r="Q129" s="11" t="s">
        <v>1283</v>
      </c>
      <c r="R129" s="11" t="s">
        <v>1283</v>
      </c>
      <c r="S129" s="11"/>
      <c r="T129" s="77"/>
      <c r="U129" s="56"/>
      <c r="V129" s="84"/>
      <c r="W129" s="56"/>
      <c r="X129" s="56"/>
      <c r="Y129" s="56"/>
      <c r="AA129" s="56"/>
    </row>
    <row r="130" spans="1:29" ht="80.5" x14ac:dyDescent="0.35">
      <c r="A130" s="56" t="s">
        <v>627</v>
      </c>
      <c r="B130" s="59" t="s">
        <v>83</v>
      </c>
      <c r="C130" s="16" t="s">
        <v>2</v>
      </c>
      <c r="D130" s="17" t="s">
        <v>1977</v>
      </c>
      <c r="E130" s="18" t="s">
        <v>1901</v>
      </c>
      <c r="F130" s="52" t="s">
        <v>1913</v>
      </c>
      <c r="G130" s="19" t="s">
        <v>5</v>
      </c>
      <c r="H130" s="49" t="s">
        <v>265</v>
      </c>
      <c r="I130" s="52" t="s">
        <v>467</v>
      </c>
      <c r="J130" s="52" t="s">
        <v>466</v>
      </c>
      <c r="K130" s="52" t="s">
        <v>468</v>
      </c>
      <c r="L130" s="52" t="s">
        <v>469</v>
      </c>
      <c r="M130" s="10" t="s">
        <v>81</v>
      </c>
      <c r="N130" s="10" t="s">
        <v>770</v>
      </c>
      <c r="O130" s="10" t="s">
        <v>81</v>
      </c>
      <c r="P130" s="10" t="s">
        <v>779</v>
      </c>
      <c r="Q130" s="11" t="s">
        <v>1283</v>
      </c>
      <c r="R130" s="11" t="s">
        <v>1283</v>
      </c>
      <c r="S130" s="11" t="s">
        <v>369</v>
      </c>
      <c r="T130" s="77"/>
      <c r="U130" s="56"/>
      <c r="V130" s="109" t="s">
        <v>1290</v>
      </c>
      <c r="W130" s="56"/>
      <c r="X130" s="56"/>
      <c r="Y130" s="56"/>
      <c r="AA130" s="56"/>
    </row>
    <row r="131" spans="1:29" ht="126.5" x14ac:dyDescent="0.35">
      <c r="A131" s="56"/>
      <c r="B131" s="59" t="s">
        <v>1947</v>
      </c>
      <c r="C131" s="6" t="s">
        <v>0</v>
      </c>
      <c r="D131" s="7">
        <v>2</v>
      </c>
      <c r="E131" s="8" t="s">
        <v>327</v>
      </c>
      <c r="F131" s="9" t="s">
        <v>1961</v>
      </c>
      <c r="G131" s="9" t="s">
        <v>5</v>
      </c>
      <c r="H131" s="47" t="s">
        <v>265</v>
      </c>
      <c r="I131" s="9" t="s">
        <v>471</v>
      </c>
      <c r="J131" s="9" t="s">
        <v>470</v>
      </c>
      <c r="K131" s="9" t="s">
        <v>472</v>
      </c>
      <c r="L131" s="9" t="s">
        <v>473</v>
      </c>
      <c r="M131" s="10"/>
      <c r="N131" s="10"/>
      <c r="O131" s="10"/>
      <c r="P131" s="10"/>
      <c r="Q131" s="11" t="s">
        <v>373</v>
      </c>
      <c r="R131" s="11" t="s">
        <v>369</v>
      </c>
      <c r="S131" s="11" t="s">
        <v>1960</v>
      </c>
      <c r="T131" s="76"/>
    </row>
    <row r="132" spans="1:29" ht="92" x14ac:dyDescent="0.35">
      <c r="A132" s="56"/>
      <c r="B132" s="59" t="s">
        <v>1933</v>
      </c>
      <c r="C132" s="12" t="s">
        <v>1</v>
      </c>
      <c r="D132" s="13">
        <v>2.1</v>
      </c>
      <c r="E132" s="14" t="s">
        <v>328</v>
      </c>
      <c r="F132" s="15" t="s">
        <v>1962</v>
      </c>
      <c r="G132" s="15" t="s">
        <v>5</v>
      </c>
      <c r="H132" s="48" t="s">
        <v>265</v>
      </c>
      <c r="I132" s="15" t="s">
        <v>1093</v>
      </c>
      <c r="J132" s="15" t="s">
        <v>474</v>
      </c>
      <c r="K132" s="15" t="s">
        <v>475</v>
      </c>
      <c r="L132" s="15" t="s">
        <v>476</v>
      </c>
      <c r="M132" s="10" t="s">
        <v>81</v>
      </c>
      <c r="N132" s="10" t="s">
        <v>81</v>
      </c>
      <c r="O132" s="10" t="s">
        <v>81</v>
      </c>
      <c r="P132" s="10" t="s">
        <v>81</v>
      </c>
      <c r="Q132" s="11" t="s">
        <v>369</v>
      </c>
      <c r="R132" s="11" t="s">
        <v>369</v>
      </c>
      <c r="S132" s="11"/>
      <c r="T132" s="77"/>
    </row>
    <row r="133" spans="1:29" ht="34.5" x14ac:dyDescent="0.35">
      <c r="A133" s="56"/>
      <c r="B133" s="59" t="s">
        <v>844</v>
      </c>
      <c r="C133" s="16" t="s">
        <v>2</v>
      </c>
      <c r="D133" s="17" t="s">
        <v>330</v>
      </c>
      <c r="E133" s="18" t="s">
        <v>1369</v>
      </c>
      <c r="F133" s="52" t="s">
        <v>1920</v>
      </c>
      <c r="G133" s="19" t="s">
        <v>5</v>
      </c>
      <c r="H133" s="49" t="s">
        <v>267</v>
      </c>
      <c r="I133" s="52"/>
      <c r="J133" s="52"/>
      <c r="K133" s="52"/>
      <c r="L133" s="52"/>
      <c r="M133" s="10"/>
      <c r="N133" s="10"/>
      <c r="O133" s="10"/>
      <c r="P133" s="10"/>
      <c r="Q133" s="11" t="s">
        <v>369</v>
      </c>
      <c r="R133" s="11" t="s">
        <v>369</v>
      </c>
      <c r="S133" s="11"/>
      <c r="T133" s="77"/>
    </row>
    <row r="134" spans="1:29" ht="34.5" x14ac:dyDescent="0.35">
      <c r="A134" s="56"/>
      <c r="B134" s="59" t="s">
        <v>844</v>
      </c>
      <c r="C134" s="20" t="s">
        <v>3</v>
      </c>
      <c r="D134" s="21" t="s">
        <v>362</v>
      </c>
      <c r="E134" s="22" t="s">
        <v>1368</v>
      </c>
      <c r="F134" s="23" t="s">
        <v>1921</v>
      </c>
      <c r="G134" s="23" t="s">
        <v>5</v>
      </c>
      <c r="H134" s="50" t="s">
        <v>267</v>
      </c>
      <c r="I134" s="23"/>
      <c r="J134" s="23"/>
      <c r="K134" s="23"/>
      <c r="L134" s="29"/>
      <c r="M134" s="10"/>
      <c r="N134" s="10"/>
      <c r="O134" s="10"/>
      <c r="P134" s="10"/>
      <c r="Q134" s="11" t="s">
        <v>369</v>
      </c>
      <c r="R134" s="11" t="s">
        <v>369</v>
      </c>
      <c r="S134" s="11"/>
      <c r="T134" s="77"/>
    </row>
    <row r="135" spans="1:29" ht="80.5" x14ac:dyDescent="0.35">
      <c r="A135" s="56"/>
      <c r="B135" s="59" t="s">
        <v>1371</v>
      </c>
      <c r="C135" s="20" t="s">
        <v>3</v>
      </c>
      <c r="D135" s="21" t="s">
        <v>363</v>
      </c>
      <c r="E135" s="22" t="s">
        <v>1370</v>
      </c>
      <c r="F135" s="23" t="s">
        <v>2191</v>
      </c>
      <c r="G135" s="23" t="s">
        <v>5</v>
      </c>
      <c r="H135" s="50" t="s">
        <v>265</v>
      </c>
      <c r="I135" s="23"/>
      <c r="J135" s="23"/>
      <c r="K135" s="23"/>
      <c r="L135" s="29"/>
      <c r="M135" s="10"/>
      <c r="N135" s="10"/>
      <c r="O135" s="10"/>
      <c r="P135" s="10"/>
      <c r="Q135" s="11" t="s">
        <v>369</v>
      </c>
      <c r="R135" s="11" t="s">
        <v>369</v>
      </c>
      <c r="S135" s="11"/>
      <c r="T135" s="77"/>
    </row>
    <row r="136" spans="1:29" ht="103.5" x14ac:dyDescent="0.35">
      <c r="A136" s="56"/>
      <c r="B136" s="59" t="s">
        <v>1929</v>
      </c>
      <c r="C136" s="16" t="s">
        <v>2</v>
      </c>
      <c r="D136" s="17" t="s">
        <v>331</v>
      </c>
      <c r="E136" s="18" t="s">
        <v>329</v>
      </c>
      <c r="F136" s="52" t="s">
        <v>1925</v>
      </c>
      <c r="G136" s="19" t="s">
        <v>5</v>
      </c>
      <c r="H136" s="49" t="s">
        <v>265</v>
      </c>
      <c r="I136" s="52" t="s">
        <v>1094</v>
      </c>
      <c r="J136" s="52" t="s">
        <v>477</v>
      </c>
      <c r="K136" s="52" t="s">
        <v>478</v>
      </c>
      <c r="L136" s="52" t="s">
        <v>479</v>
      </c>
      <c r="M136" s="10" t="s">
        <v>777</v>
      </c>
      <c r="N136" s="10" t="s">
        <v>781</v>
      </c>
      <c r="O136" s="10" t="s">
        <v>782</v>
      </c>
      <c r="P136" s="10" t="s">
        <v>777</v>
      </c>
      <c r="Q136" s="11" t="s">
        <v>1283</v>
      </c>
      <c r="R136" s="11" t="s">
        <v>1286</v>
      </c>
      <c r="S136" s="11" t="s">
        <v>1303</v>
      </c>
      <c r="T136" s="77"/>
    </row>
    <row r="137" spans="1:29" ht="46" x14ac:dyDescent="0.35">
      <c r="A137" s="56"/>
      <c r="B137" s="59" t="s">
        <v>30</v>
      </c>
      <c r="C137" s="20" t="s">
        <v>3</v>
      </c>
      <c r="D137" s="21" t="s">
        <v>366</v>
      </c>
      <c r="E137" s="22" t="s">
        <v>364</v>
      </c>
      <c r="F137" s="23" t="s">
        <v>1922</v>
      </c>
      <c r="G137" s="23" t="s">
        <v>5</v>
      </c>
      <c r="H137" s="50" t="s">
        <v>267</v>
      </c>
      <c r="I137" s="23"/>
      <c r="J137" s="23"/>
      <c r="K137" s="23"/>
      <c r="L137" s="29"/>
      <c r="M137" s="10" t="s">
        <v>258</v>
      </c>
      <c r="N137" s="10" t="s">
        <v>767</v>
      </c>
      <c r="O137" s="10" t="s">
        <v>768</v>
      </c>
      <c r="P137" s="10" t="s">
        <v>258</v>
      </c>
      <c r="Q137" s="11" t="s">
        <v>1283</v>
      </c>
      <c r="R137" s="11" t="s">
        <v>1286</v>
      </c>
      <c r="S137" s="11"/>
      <c r="T137" s="77"/>
    </row>
    <row r="138" spans="1:29" ht="69" x14ac:dyDescent="0.35">
      <c r="A138" s="56"/>
      <c r="B138" s="59" t="s">
        <v>30</v>
      </c>
      <c r="C138" s="20" t="s">
        <v>3</v>
      </c>
      <c r="D138" s="21" t="s">
        <v>367</v>
      </c>
      <c r="E138" s="22" t="s">
        <v>365</v>
      </c>
      <c r="F138" s="23" t="s">
        <v>1923</v>
      </c>
      <c r="G138" s="23" t="s">
        <v>5</v>
      </c>
      <c r="H138" s="50" t="s">
        <v>265</v>
      </c>
      <c r="I138" s="23"/>
      <c r="J138" s="23"/>
      <c r="K138" s="23"/>
      <c r="L138" s="29"/>
      <c r="M138" s="10" t="s">
        <v>81</v>
      </c>
      <c r="N138" s="10" t="s">
        <v>81</v>
      </c>
      <c r="O138" s="10" t="s">
        <v>81</v>
      </c>
      <c r="P138" s="10" t="s">
        <v>81</v>
      </c>
      <c r="Q138" s="11" t="s">
        <v>1283</v>
      </c>
      <c r="R138" s="11" t="s">
        <v>1286</v>
      </c>
      <c r="S138" s="11"/>
      <c r="T138" s="77"/>
    </row>
    <row r="139" spans="1:29" ht="46" x14ac:dyDescent="0.35">
      <c r="A139" s="56"/>
      <c r="B139" s="59" t="s">
        <v>1931</v>
      </c>
      <c r="C139" s="20" t="s">
        <v>3</v>
      </c>
      <c r="D139" s="21" t="s">
        <v>368</v>
      </c>
      <c r="E139" s="22" t="s">
        <v>1373</v>
      </c>
      <c r="F139" s="23" t="s">
        <v>1924</v>
      </c>
      <c r="G139" s="23" t="s">
        <v>5</v>
      </c>
      <c r="H139" s="50" t="s">
        <v>265</v>
      </c>
      <c r="I139" s="23"/>
      <c r="J139" s="23"/>
      <c r="K139" s="23"/>
      <c r="L139" s="29"/>
      <c r="M139" s="10"/>
      <c r="N139" s="10"/>
      <c r="O139" s="10"/>
      <c r="P139" s="10"/>
      <c r="Q139" s="11" t="s">
        <v>1283</v>
      </c>
      <c r="R139" s="11" t="s">
        <v>1286</v>
      </c>
      <c r="S139" s="11"/>
      <c r="T139" s="77"/>
    </row>
    <row r="140" spans="1:29" ht="46" x14ac:dyDescent="0.35">
      <c r="A140" s="56"/>
      <c r="B140" s="59" t="s">
        <v>1930</v>
      </c>
      <c r="C140" s="16" t="s">
        <v>2</v>
      </c>
      <c r="D140" s="17" t="s">
        <v>332</v>
      </c>
      <c r="E140" s="18" t="s">
        <v>1315</v>
      </c>
      <c r="F140" s="52" t="s">
        <v>1926</v>
      </c>
      <c r="G140" s="19" t="s">
        <v>5</v>
      </c>
      <c r="H140" s="49" t="s">
        <v>265</v>
      </c>
      <c r="I140" s="52"/>
      <c r="J140" s="52"/>
      <c r="K140" s="52"/>
      <c r="L140" s="52"/>
      <c r="M140" s="10"/>
      <c r="N140" s="10"/>
      <c r="O140" s="10"/>
      <c r="P140" s="10"/>
      <c r="Q140" s="11" t="s">
        <v>249</v>
      </c>
      <c r="R140" s="11" t="s">
        <v>249</v>
      </c>
      <c r="S140" s="11" t="s">
        <v>1283</v>
      </c>
      <c r="T140" s="77"/>
    </row>
    <row r="141" spans="1:29" ht="69" x14ac:dyDescent="0.35">
      <c r="A141" s="56"/>
      <c r="B141" s="59" t="s">
        <v>1378</v>
      </c>
      <c r="C141" s="20" t="s">
        <v>3</v>
      </c>
      <c r="D141" s="21" t="s">
        <v>370</v>
      </c>
      <c r="E141" s="22" t="s">
        <v>1377</v>
      </c>
      <c r="F141" s="23" t="s">
        <v>1927</v>
      </c>
      <c r="G141" s="23" t="s">
        <v>5</v>
      </c>
      <c r="H141" s="50" t="s">
        <v>265</v>
      </c>
      <c r="I141" s="23"/>
      <c r="J141" s="23"/>
      <c r="K141" s="23"/>
      <c r="L141" s="29"/>
      <c r="M141" s="10"/>
      <c r="N141" s="10"/>
      <c r="O141" s="10"/>
      <c r="P141" s="10"/>
      <c r="Q141" s="11" t="s">
        <v>249</v>
      </c>
      <c r="R141" s="11" t="s">
        <v>249</v>
      </c>
      <c r="S141" s="11" t="s">
        <v>1283</v>
      </c>
      <c r="T141" s="77"/>
      <c r="AC141" s="117" t="s">
        <v>1316</v>
      </c>
    </row>
    <row r="142" spans="1:29" ht="80.5" x14ac:dyDescent="0.35">
      <c r="A142" s="56"/>
      <c r="B142" s="59" t="s">
        <v>1378</v>
      </c>
      <c r="C142" s="20" t="s">
        <v>3</v>
      </c>
      <c r="D142" s="21" t="s">
        <v>1374</v>
      </c>
      <c r="E142" s="22" t="s">
        <v>1372</v>
      </c>
      <c r="F142" s="23" t="s">
        <v>1963</v>
      </c>
      <c r="G142" s="23" t="s">
        <v>5</v>
      </c>
      <c r="H142" s="50" t="s">
        <v>265</v>
      </c>
      <c r="I142" s="23"/>
      <c r="J142" s="23"/>
      <c r="K142" s="23"/>
      <c r="L142" s="29"/>
      <c r="M142" s="10"/>
      <c r="N142" s="10"/>
      <c r="O142" s="10"/>
      <c r="P142" s="10"/>
      <c r="Q142" s="11" t="s">
        <v>249</v>
      </c>
      <c r="R142" s="11" t="s">
        <v>249</v>
      </c>
      <c r="S142" s="11" t="s">
        <v>1283</v>
      </c>
      <c r="T142" s="77"/>
    </row>
    <row r="143" spans="1:29" ht="69" x14ac:dyDescent="0.35">
      <c r="A143" s="56"/>
      <c r="B143" s="59" t="s">
        <v>1378</v>
      </c>
      <c r="C143" s="20" t="s">
        <v>3</v>
      </c>
      <c r="D143" s="21" t="s">
        <v>1375</v>
      </c>
      <c r="E143" s="22" t="s">
        <v>1379</v>
      </c>
      <c r="F143" s="23" t="s">
        <v>1919</v>
      </c>
      <c r="G143" s="23" t="s">
        <v>5</v>
      </c>
      <c r="H143" s="50" t="s">
        <v>267</v>
      </c>
      <c r="I143" s="23"/>
      <c r="J143" s="23" t="s">
        <v>1405</v>
      </c>
      <c r="K143" s="23"/>
      <c r="L143" s="29"/>
      <c r="M143" s="10"/>
      <c r="N143" s="10"/>
      <c r="O143" s="10"/>
      <c r="P143" s="10"/>
      <c r="Q143" s="11" t="s">
        <v>249</v>
      </c>
      <c r="R143" s="11" t="s">
        <v>249</v>
      </c>
      <c r="S143" s="11" t="s">
        <v>1283</v>
      </c>
      <c r="T143" s="77"/>
    </row>
    <row r="144" spans="1:29" ht="46" x14ac:dyDescent="0.35">
      <c r="A144" s="56"/>
      <c r="B144" s="59" t="s">
        <v>1933</v>
      </c>
      <c r="C144" s="20" t="s">
        <v>3</v>
      </c>
      <c r="D144" s="21" t="s">
        <v>1376</v>
      </c>
      <c r="E144" s="22" t="s">
        <v>1373</v>
      </c>
      <c r="F144" s="23" t="s">
        <v>1928</v>
      </c>
      <c r="G144" s="23" t="s">
        <v>5</v>
      </c>
      <c r="H144" s="50" t="s">
        <v>265</v>
      </c>
      <c r="I144" s="23"/>
      <c r="J144" s="23"/>
      <c r="K144" s="23"/>
      <c r="L144" s="29"/>
      <c r="M144" s="10"/>
      <c r="N144" s="10"/>
      <c r="O144" s="10"/>
      <c r="P144" s="10"/>
      <c r="Q144" s="11" t="s">
        <v>249</v>
      </c>
      <c r="R144" s="11" t="s">
        <v>249</v>
      </c>
      <c r="S144" s="11"/>
      <c r="T144" s="77"/>
    </row>
    <row r="145" spans="1:29" ht="80.5" x14ac:dyDescent="0.35">
      <c r="A145" s="56"/>
      <c r="B145" s="59" t="s">
        <v>1933</v>
      </c>
      <c r="C145" s="16" t="s">
        <v>2</v>
      </c>
      <c r="D145" s="17" t="s">
        <v>350</v>
      </c>
      <c r="E145" s="18" t="s">
        <v>1382</v>
      </c>
      <c r="F145" s="52" t="s">
        <v>1938</v>
      </c>
      <c r="G145" s="19" t="s">
        <v>5</v>
      </c>
      <c r="H145" s="49" t="s">
        <v>265</v>
      </c>
      <c r="I145" s="52" t="s">
        <v>485</v>
      </c>
      <c r="J145" s="52" t="s">
        <v>484</v>
      </c>
      <c r="K145" s="52" t="s">
        <v>486</v>
      </c>
      <c r="L145" s="52" t="s">
        <v>487</v>
      </c>
      <c r="M145" s="10"/>
      <c r="N145" s="10"/>
      <c r="O145" s="10"/>
      <c r="P145" s="10"/>
      <c r="Q145" s="11" t="s">
        <v>369</v>
      </c>
      <c r="R145" s="11" t="s">
        <v>369</v>
      </c>
      <c r="S145" s="11" t="s">
        <v>1026</v>
      </c>
      <c r="T145" s="77"/>
      <c r="U145" s="118" t="s">
        <v>1294</v>
      </c>
    </row>
    <row r="146" spans="1:29" ht="80.5" x14ac:dyDescent="0.35">
      <c r="A146" s="56"/>
      <c r="B146" s="59" t="s">
        <v>1933</v>
      </c>
      <c r="C146" s="20" t="s">
        <v>3</v>
      </c>
      <c r="D146" s="21" t="s">
        <v>1380</v>
      </c>
      <c r="E146" s="22" t="s">
        <v>1383</v>
      </c>
      <c r="F146" s="23" t="s">
        <v>1939</v>
      </c>
      <c r="G146" s="23" t="s">
        <v>5</v>
      </c>
      <c r="H146" s="50" t="s">
        <v>265</v>
      </c>
      <c r="I146" s="23"/>
      <c r="J146" s="23"/>
      <c r="K146" s="23"/>
      <c r="L146" s="29"/>
      <c r="M146" s="10"/>
      <c r="N146" s="10"/>
      <c r="O146" s="10"/>
      <c r="P146" s="10"/>
      <c r="Q146" s="11" t="s">
        <v>369</v>
      </c>
      <c r="R146" s="11" t="s">
        <v>369</v>
      </c>
      <c r="S146" s="11" t="s">
        <v>1026</v>
      </c>
      <c r="T146" s="77"/>
      <c r="U146" s="118" t="s">
        <v>1294</v>
      </c>
    </row>
    <row r="147" spans="1:29" ht="80.5" x14ac:dyDescent="0.35">
      <c r="A147" s="56"/>
      <c r="B147" s="59" t="s">
        <v>1933</v>
      </c>
      <c r="C147" s="20" t="s">
        <v>3</v>
      </c>
      <c r="D147" s="21" t="s">
        <v>1104</v>
      </c>
      <c r="E147" s="22" t="s">
        <v>1384</v>
      </c>
      <c r="F147" s="23" t="s">
        <v>1940</v>
      </c>
      <c r="G147" s="23" t="s">
        <v>5</v>
      </c>
      <c r="H147" s="50" t="s">
        <v>265</v>
      </c>
      <c r="I147" s="23"/>
      <c r="J147" s="23"/>
      <c r="K147" s="23"/>
      <c r="L147" s="29"/>
      <c r="M147" s="10"/>
      <c r="N147" s="10"/>
      <c r="O147" s="10"/>
      <c r="P147" s="10"/>
      <c r="Q147" s="11" t="s">
        <v>369</v>
      </c>
      <c r="R147" s="11" t="s">
        <v>369</v>
      </c>
      <c r="S147" s="11" t="s">
        <v>1934</v>
      </c>
      <c r="T147" s="77"/>
    </row>
    <row r="148" spans="1:29" ht="46" x14ac:dyDescent="0.35">
      <c r="A148" s="56"/>
      <c r="B148" s="59" t="s">
        <v>1933</v>
      </c>
      <c r="C148" s="20" t="s">
        <v>3</v>
      </c>
      <c r="D148" s="21" t="s">
        <v>1381</v>
      </c>
      <c r="E148" s="22" t="s">
        <v>1385</v>
      </c>
      <c r="F148" s="23" t="s">
        <v>1941</v>
      </c>
      <c r="G148" s="23" t="s">
        <v>5</v>
      </c>
      <c r="H148" s="50" t="s">
        <v>265</v>
      </c>
      <c r="I148" s="23"/>
      <c r="J148" s="23"/>
      <c r="K148" s="23"/>
      <c r="L148" s="29"/>
      <c r="M148" s="10" t="s">
        <v>821</v>
      </c>
      <c r="N148" s="10"/>
      <c r="O148" s="10"/>
      <c r="P148" s="10"/>
      <c r="Q148" s="11" t="s">
        <v>1286</v>
      </c>
      <c r="R148" s="11" t="s">
        <v>1286</v>
      </c>
      <c r="S148" s="11" t="s">
        <v>1706</v>
      </c>
      <c r="T148" s="77"/>
    </row>
    <row r="149" spans="1:29" ht="57.5" x14ac:dyDescent="0.35">
      <c r="A149" s="56"/>
      <c r="B149" s="59" t="s">
        <v>1933</v>
      </c>
      <c r="C149" s="16" t="s">
        <v>2</v>
      </c>
      <c r="D149" s="17" t="s">
        <v>352</v>
      </c>
      <c r="E149" s="18" t="s">
        <v>1389</v>
      </c>
      <c r="F149" s="52" t="s">
        <v>1942</v>
      </c>
      <c r="G149" s="19" t="s">
        <v>5</v>
      </c>
      <c r="H149" s="49" t="s">
        <v>267</v>
      </c>
      <c r="I149" s="52" t="s">
        <v>481</v>
      </c>
      <c r="J149" s="52" t="s">
        <v>480</v>
      </c>
      <c r="K149" s="52" t="s">
        <v>482</v>
      </c>
      <c r="L149" s="52" t="s">
        <v>483</v>
      </c>
      <c r="M149" s="10" t="s">
        <v>81</v>
      </c>
      <c r="N149" s="10" t="s">
        <v>81</v>
      </c>
      <c r="O149" s="10" t="s">
        <v>81</v>
      </c>
      <c r="P149" s="10" t="s">
        <v>81</v>
      </c>
      <c r="Q149" s="11" t="s">
        <v>369</v>
      </c>
      <c r="R149" s="11" t="s">
        <v>369</v>
      </c>
      <c r="S149" s="11"/>
      <c r="T149" s="77"/>
    </row>
    <row r="150" spans="1:29" ht="57.5" x14ac:dyDescent="0.35">
      <c r="A150" s="56"/>
      <c r="B150" s="59" t="s">
        <v>1933</v>
      </c>
      <c r="C150" s="20" t="s">
        <v>3</v>
      </c>
      <c r="D150" s="21" t="s">
        <v>1386</v>
      </c>
      <c r="E150" s="22" t="s">
        <v>1935</v>
      </c>
      <c r="F150" s="23" t="s">
        <v>1936</v>
      </c>
      <c r="G150" s="23" t="s">
        <v>5</v>
      </c>
      <c r="H150" s="50" t="s">
        <v>265</v>
      </c>
      <c r="I150" s="23"/>
      <c r="J150" s="23"/>
      <c r="K150" s="23"/>
      <c r="L150" s="29"/>
      <c r="M150" s="10" t="s">
        <v>81</v>
      </c>
      <c r="N150" s="10" t="s">
        <v>81</v>
      </c>
      <c r="O150" s="10" t="s">
        <v>81</v>
      </c>
      <c r="P150" s="10" t="s">
        <v>81</v>
      </c>
      <c r="Q150" s="11" t="s">
        <v>369</v>
      </c>
      <c r="R150" s="11" t="s">
        <v>369</v>
      </c>
      <c r="S150" s="11"/>
      <c r="T150" s="77"/>
    </row>
    <row r="151" spans="1:29" ht="46" x14ac:dyDescent="0.35">
      <c r="A151" s="56"/>
      <c r="B151" s="59" t="s">
        <v>1933</v>
      </c>
      <c r="C151" s="20" t="s">
        <v>3</v>
      </c>
      <c r="D151" s="21" t="s">
        <v>1387</v>
      </c>
      <c r="E151" s="22" t="s">
        <v>1937</v>
      </c>
      <c r="F151" s="23" t="s">
        <v>1964</v>
      </c>
      <c r="G151" s="23" t="s">
        <v>5</v>
      </c>
      <c r="H151" s="50" t="s">
        <v>267</v>
      </c>
      <c r="I151" s="23"/>
      <c r="J151" s="23"/>
      <c r="K151" s="23"/>
      <c r="L151" s="29"/>
      <c r="M151" s="10"/>
      <c r="N151" s="10"/>
      <c r="O151" s="10"/>
      <c r="P151" s="10"/>
      <c r="Q151" s="11" t="s">
        <v>369</v>
      </c>
      <c r="R151" s="11" t="s">
        <v>369</v>
      </c>
      <c r="S151" s="11"/>
      <c r="T151" s="77"/>
    </row>
    <row r="152" spans="1:29" ht="92" x14ac:dyDescent="0.35">
      <c r="A152" s="56"/>
      <c r="B152" s="59" t="s">
        <v>1933</v>
      </c>
      <c r="C152" s="20" t="s">
        <v>3</v>
      </c>
      <c r="D152" s="21" t="s">
        <v>1388</v>
      </c>
      <c r="E152" s="22" t="s">
        <v>371</v>
      </c>
      <c r="F152" s="23" t="s">
        <v>2192</v>
      </c>
      <c r="G152" s="23" t="s">
        <v>5</v>
      </c>
      <c r="H152" s="50" t="s">
        <v>267</v>
      </c>
      <c r="I152" s="23"/>
      <c r="J152" s="23"/>
      <c r="K152" s="23"/>
      <c r="L152" s="29"/>
      <c r="M152" s="10"/>
      <c r="N152" s="10"/>
      <c r="O152" s="10"/>
      <c r="P152" s="10"/>
      <c r="Q152" s="11" t="s">
        <v>369</v>
      </c>
      <c r="R152" s="11" t="s">
        <v>369</v>
      </c>
      <c r="S152" s="11" t="s">
        <v>1286</v>
      </c>
      <c r="T152" s="77"/>
      <c r="U152" s="118" t="s">
        <v>1294</v>
      </c>
    </row>
    <row r="153" spans="1:29" ht="46" x14ac:dyDescent="0.35">
      <c r="A153" s="56"/>
      <c r="B153" s="59" t="s">
        <v>1933</v>
      </c>
      <c r="C153" s="16" t="s">
        <v>2</v>
      </c>
      <c r="D153" s="17" t="s">
        <v>1390</v>
      </c>
      <c r="E153" s="18" t="s">
        <v>1393</v>
      </c>
      <c r="F153" s="52" t="s">
        <v>1943</v>
      </c>
      <c r="G153" s="19" t="s">
        <v>5</v>
      </c>
      <c r="H153" s="49" t="s">
        <v>267</v>
      </c>
      <c r="I153" s="52"/>
      <c r="J153" s="52"/>
      <c r="K153" s="52"/>
      <c r="L153" s="52"/>
      <c r="M153" s="10"/>
      <c r="N153" s="10"/>
      <c r="O153" s="10"/>
      <c r="P153" s="10"/>
      <c r="Q153" s="11" t="s">
        <v>369</v>
      </c>
      <c r="R153" s="11" t="s">
        <v>369</v>
      </c>
      <c r="S153" s="11" t="s">
        <v>1286</v>
      </c>
      <c r="T153" s="77"/>
    </row>
    <row r="154" spans="1:29" ht="69" x14ac:dyDescent="0.35">
      <c r="A154" s="56"/>
      <c r="B154" s="59" t="s">
        <v>1933</v>
      </c>
      <c r="C154" s="20" t="s">
        <v>3</v>
      </c>
      <c r="D154" s="21" t="s">
        <v>1391</v>
      </c>
      <c r="E154" s="22" t="s">
        <v>1317</v>
      </c>
      <c r="F154" s="23" t="s">
        <v>1944</v>
      </c>
      <c r="G154" s="23" t="s">
        <v>5</v>
      </c>
      <c r="H154" s="50" t="s">
        <v>267</v>
      </c>
      <c r="I154" s="23"/>
      <c r="J154" s="23"/>
      <c r="K154" s="23"/>
      <c r="L154" s="23"/>
      <c r="M154" s="10"/>
      <c r="N154" s="10"/>
      <c r="O154" s="10"/>
      <c r="P154" s="10"/>
      <c r="Q154" s="11" t="s">
        <v>369</v>
      </c>
      <c r="R154" s="11" t="s">
        <v>369</v>
      </c>
      <c r="S154" s="11" t="s">
        <v>1286</v>
      </c>
      <c r="T154" s="77"/>
      <c r="AC154" s="117" t="s">
        <v>1318</v>
      </c>
    </row>
    <row r="155" spans="1:29" ht="57.5" x14ac:dyDescent="0.35">
      <c r="A155" s="56"/>
      <c r="B155" s="59" t="s">
        <v>1933</v>
      </c>
      <c r="C155" s="20" t="s">
        <v>3</v>
      </c>
      <c r="D155" s="21" t="s">
        <v>1392</v>
      </c>
      <c r="E155" s="22" t="s">
        <v>1394</v>
      </c>
      <c r="F155" s="23" t="s">
        <v>1945</v>
      </c>
      <c r="G155" s="23" t="str">
        <f>"Decision 
If yes, proceed to step "&amp;D156&amp;" 
If no, proceed to "&amp;D148&amp;""</f>
        <v>Decision 
If yes, proceed to step 2.1.6.3 
If no, proceed to 2.1.4.3</v>
      </c>
      <c r="H155" s="50" t="s">
        <v>267</v>
      </c>
      <c r="I155" s="23"/>
      <c r="J155" s="23"/>
      <c r="K155" s="23"/>
      <c r="L155" s="23"/>
      <c r="M155" s="10"/>
      <c r="N155" s="10"/>
      <c r="O155" s="10"/>
      <c r="P155" s="10"/>
      <c r="Q155" s="11" t="s">
        <v>369</v>
      </c>
      <c r="R155" s="11" t="s">
        <v>369</v>
      </c>
      <c r="S155" s="11" t="s">
        <v>1286</v>
      </c>
      <c r="T155" s="77"/>
    </row>
    <row r="156" spans="1:29" ht="46" x14ac:dyDescent="0.35">
      <c r="A156" s="56"/>
      <c r="B156" s="59" t="s">
        <v>1933</v>
      </c>
      <c r="C156" s="20" t="s">
        <v>3</v>
      </c>
      <c r="D156" s="21" t="s">
        <v>1395</v>
      </c>
      <c r="E156" s="22" t="s">
        <v>372</v>
      </c>
      <c r="F156" s="23" t="s">
        <v>1946</v>
      </c>
      <c r="G156" s="23" t="s">
        <v>5</v>
      </c>
      <c r="H156" s="50" t="s">
        <v>267</v>
      </c>
      <c r="I156" s="23"/>
      <c r="J156" s="23"/>
      <c r="K156" s="23"/>
      <c r="L156" s="29"/>
      <c r="M156" s="10"/>
      <c r="N156" s="10"/>
      <c r="O156" s="10"/>
      <c r="P156" s="10"/>
      <c r="Q156" s="11" t="s">
        <v>369</v>
      </c>
      <c r="R156" s="11" t="s">
        <v>369</v>
      </c>
      <c r="S156" s="11"/>
      <c r="T156" s="77"/>
      <c r="U156" s="118" t="s">
        <v>1294</v>
      </c>
    </row>
    <row r="157" spans="1:29" ht="103.5" x14ac:dyDescent="0.35">
      <c r="A157" s="56"/>
      <c r="B157" s="59" t="s">
        <v>1953</v>
      </c>
      <c r="C157" s="12" t="s">
        <v>1</v>
      </c>
      <c r="D157" s="13">
        <v>2.2000000000000002</v>
      </c>
      <c r="E157" s="14" t="s">
        <v>333</v>
      </c>
      <c r="F157" s="15" t="s">
        <v>1950</v>
      </c>
      <c r="G157" s="15" t="s">
        <v>5</v>
      </c>
      <c r="H157" s="48" t="s">
        <v>265</v>
      </c>
      <c r="I157" s="15" t="s">
        <v>489</v>
      </c>
      <c r="J157" s="15" t="s">
        <v>488</v>
      </c>
      <c r="K157" s="15" t="s">
        <v>490</v>
      </c>
      <c r="L157" s="15" t="s">
        <v>491</v>
      </c>
      <c r="M157" s="10" t="s">
        <v>26</v>
      </c>
      <c r="N157" s="10" t="s">
        <v>771</v>
      </c>
      <c r="O157" s="10" t="s">
        <v>771</v>
      </c>
      <c r="P157" s="10" t="s">
        <v>771</v>
      </c>
      <c r="Q157" s="11" t="s">
        <v>373</v>
      </c>
      <c r="R157" s="11" t="s">
        <v>1286</v>
      </c>
      <c r="S157" s="11" t="s">
        <v>1959</v>
      </c>
      <c r="T157" s="77"/>
      <c r="AC157" s="117" t="s">
        <v>1320</v>
      </c>
    </row>
    <row r="158" spans="1:29" ht="103.5" x14ac:dyDescent="0.35">
      <c r="A158" s="56"/>
      <c r="B158" s="59" t="s">
        <v>83</v>
      </c>
      <c r="C158" s="16" t="s">
        <v>2</v>
      </c>
      <c r="D158" s="17" t="s">
        <v>334</v>
      </c>
      <c r="E158" s="18" t="s">
        <v>335</v>
      </c>
      <c r="F158" s="52" t="s">
        <v>2194</v>
      </c>
      <c r="G158" s="19" t="s">
        <v>5</v>
      </c>
      <c r="H158" s="49" t="s">
        <v>265</v>
      </c>
      <c r="I158" s="52"/>
      <c r="J158" s="52"/>
      <c r="K158" s="52"/>
      <c r="L158" s="31"/>
      <c r="M158" s="10" t="s">
        <v>783</v>
      </c>
      <c r="N158" s="10" t="s">
        <v>781</v>
      </c>
      <c r="O158" s="10" t="s">
        <v>771</v>
      </c>
      <c r="P158" s="10" t="s">
        <v>779</v>
      </c>
      <c r="Q158" s="11" t="s">
        <v>373</v>
      </c>
      <c r="R158" s="11" t="s">
        <v>1286</v>
      </c>
      <c r="S158" s="11" t="s">
        <v>1959</v>
      </c>
      <c r="T158" s="77"/>
    </row>
    <row r="159" spans="1:29" ht="69" x14ac:dyDescent="0.35">
      <c r="A159" s="56"/>
      <c r="B159" s="59" t="s">
        <v>1953</v>
      </c>
      <c r="C159" s="16" t="s">
        <v>2</v>
      </c>
      <c r="D159" s="17" t="s">
        <v>336</v>
      </c>
      <c r="E159" s="18" t="s">
        <v>339</v>
      </c>
      <c r="F159" s="52" t="s">
        <v>2193</v>
      </c>
      <c r="G159" s="19" t="s">
        <v>5</v>
      </c>
      <c r="H159" s="49" t="s">
        <v>265</v>
      </c>
      <c r="I159" s="52" t="s">
        <v>493</v>
      </c>
      <c r="J159" s="52" t="s">
        <v>492</v>
      </c>
      <c r="K159" s="52" t="s">
        <v>494</v>
      </c>
      <c r="L159" s="52" t="s">
        <v>495</v>
      </c>
      <c r="M159" s="10" t="s">
        <v>784</v>
      </c>
      <c r="N159" s="10" t="s">
        <v>785</v>
      </c>
      <c r="O159" s="10" t="s">
        <v>786</v>
      </c>
      <c r="P159" s="10" t="s">
        <v>779</v>
      </c>
      <c r="Q159" s="11" t="s">
        <v>373</v>
      </c>
      <c r="R159" s="11" t="s">
        <v>1286</v>
      </c>
      <c r="S159" s="11"/>
      <c r="T159" s="77"/>
    </row>
    <row r="160" spans="1:29" ht="46" x14ac:dyDescent="0.35">
      <c r="A160" s="56"/>
      <c r="B160" s="59" t="s">
        <v>1953</v>
      </c>
      <c r="C160" s="16" t="s">
        <v>2</v>
      </c>
      <c r="D160" s="17" t="s">
        <v>337</v>
      </c>
      <c r="E160" s="18" t="s">
        <v>340</v>
      </c>
      <c r="F160" s="52" t="s">
        <v>1951</v>
      </c>
      <c r="G160" s="19" t="s">
        <v>5</v>
      </c>
      <c r="H160" s="49" t="s">
        <v>265</v>
      </c>
      <c r="I160" s="52"/>
      <c r="J160" s="52"/>
      <c r="K160" s="52"/>
      <c r="L160" s="52"/>
      <c r="M160" s="10" t="s">
        <v>783</v>
      </c>
      <c r="N160" s="10" t="s">
        <v>785</v>
      </c>
      <c r="O160" s="10" t="s">
        <v>771</v>
      </c>
      <c r="P160" s="10" t="s">
        <v>779</v>
      </c>
      <c r="Q160" s="11" t="s">
        <v>373</v>
      </c>
      <c r="R160" s="11" t="s">
        <v>1286</v>
      </c>
      <c r="S160" s="11"/>
      <c r="T160" s="77"/>
    </row>
    <row r="161" spans="1:22" ht="80.5" x14ac:dyDescent="0.35">
      <c r="A161" s="56"/>
      <c r="B161" s="59" t="s">
        <v>1953</v>
      </c>
      <c r="C161" s="16" t="s">
        <v>2</v>
      </c>
      <c r="D161" s="17" t="s">
        <v>338</v>
      </c>
      <c r="E161" s="18" t="s">
        <v>1319</v>
      </c>
      <c r="F161" s="52" t="s">
        <v>1952</v>
      </c>
      <c r="G161" s="19" t="s">
        <v>5</v>
      </c>
      <c r="H161" s="49" t="s">
        <v>265</v>
      </c>
      <c r="I161" s="52" t="s">
        <v>497</v>
      </c>
      <c r="J161" s="52" t="s">
        <v>496</v>
      </c>
      <c r="K161" s="52" t="s">
        <v>498</v>
      </c>
      <c r="L161" s="52" t="s">
        <v>499</v>
      </c>
      <c r="M161" s="10" t="s">
        <v>784</v>
      </c>
      <c r="N161" s="10" t="s">
        <v>787</v>
      </c>
      <c r="O161" s="10" t="s">
        <v>788</v>
      </c>
      <c r="P161" s="10" t="s">
        <v>770</v>
      </c>
      <c r="Q161" s="11" t="s">
        <v>373</v>
      </c>
      <c r="R161" s="11" t="s">
        <v>1286</v>
      </c>
      <c r="S161" s="11"/>
      <c r="T161" s="77"/>
    </row>
    <row r="162" spans="1:22" ht="103.5" x14ac:dyDescent="0.35">
      <c r="A162" s="56"/>
      <c r="B162" s="59" t="s">
        <v>1954</v>
      </c>
      <c r="C162" s="12" t="s">
        <v>1</v>
      </c>
      <c r="D162" s="13">
        <v>2.2999999999999998</v>
      </c>
      <c r="E162" s="14" t="s">
        <v>341</v>
      </c>
      <c r="F162" s="15" t="s">
        <v>1955</v>
      </c>
      <c r="G162" s="15" t="s">
        <v>5</v>
      </c>
      <c r="H162" s="48" t="s">
        <v>265</v>
      </c>
      <c r="I162" s="15" t="s">
        <v>501</v>
      </c>
      <c r="J162" s="15" t="s">
        <v>500</v>
      </c>
      <c r="K162" s="15" t="s">
        <v>502</v>
      </c>
      <c r="L162" s="15" t="s">
        <v>503</v>
      </c>
      <c r="M162" s="10" t="s">
        <v>784</v>
      </c>
      <c r="N162" s="10" t="s">
        <v>373</v>
      </c>
      <c r="O162" s="10" t="s">
        <v>789</v>
      </c>
      <c r="P162" s="10" t="s">
        <v>770</v>
      </c>
      <c r="Q162" s="11" t="s">
        <v>373</v>
      </c>
      <c r="R162" s="11" t="s">
        <v>373</v>
      </c>
      <c r="S162" s="11" t="s">
        <v>249</v>
      </c>
      <c r="T162" s="77"/>
    </row>
    <row r="163" spans="1:22" ht="80.5" x14ac:dyDescent="0.35">
      <c r="A163" s="56"/>
      <c r="B163" s="59" t="s">
        <v>1953</v>
      </c>
      <c r="C163" s="16" t="s">
        <v>2</v>
      </c>
      <c r="D163" s="17" t="s">
        <v>346</v>
      </c>
      <c r="E163" s="18" t="s">
        <v>342</v>
      </c>
      <c r="F163" s="52" t="s">
        <v>1956</v>
      </c>
      <c r="G163" s="19" t="s">
        <v>5</v>
      </c>
      <c r="H163" s="49" t="s">
        <v>265</v>
      </c>
      <c r="I163" s="52" t="s">
        <v>505</v>
      </c>
      <c r="J163" s="52" t="s">
        <v>504</v>
      </c>
      <c r="K163" s="52" t="s">
        <v>506</v>
      </c>
      <c r="L163" s="52" t="s">
        <v>507</v>
      </c>
      <c r="M163" s="10" t="s">
        <v>784</v>
      </c>
      <c r="N163" s="10" t="s">
        <v>373</v>
      </c>
      <c r="O163" s="10" t="s">
        <v>790</v>
      </c>
      <c r="P163" s="10" t="s">
        <v>770</v>
      </c>
      <c r="Q163" s="11" t="s">
        <v>373</v>
      </c>
      <c r="R163" s="11" t="s">
        <v>373</v>
      </c>
      <c r="S163" s="11" t="s">
        <v>249</v>
      </c>
      <c r="T163" s="77"/>
    </row>
    <row r="164" spans="1:22" ht="57.5" x14ac:dyDescent="0.35">
      <c r="A164" s="56"/>
      <c r="B164" s="59" t="s">
        <v>1953</v>
      </c>
      <c r="C164" s="16" t="s">
        <v>2</v>
      </c>
      <c r="D164" s="17" t="s">
        <v>347</v>
      </c>
      <c r="E164" s="18" t="s">
        <v>343</v>
      </c>
      <c r="F164" s="52" t="s">
        <v>1957</v>
      </c>
      <c r="G164" s="19" t="s">
        <v>5</v>
      </c>
      <c r="H164" s="49" t="s">
        <v>267</v>
      </c>
      <c r="I164" s="52"/>
      <c r="J164" s="52"/>
      <c r="K164" s="52"/>
      <c r="L164" s="52"/>
      <c r="M164" s="10" t="s">
        <v>784</v>
      </c>
      <c r="N164" s="10" t="s">
        <v>791</v>
      </c>
      <c r="O164" s="10" t="s">
        <v>792</v>
      </c>
      <c r="P164" s="10" t="s">
        <v>793</v>
      </c>
      <c r="Q164" s="11" t="s">
        <v>373</v>
      </c>
      <c r="R164" s="11" t="s">
        <v>373</v>
      </c>
      <c r="S164" s="11" t="s">
        <v>249</v>
      </c>
      <c r="T164" s="77"/>
    </row>
    <row r="165" spans="1:22" ht="46" x14ac:dyDescent="0.35">
      <c r="A165" s="56"/>
      <c r="B165" s="59" t="s">
        <v>1953</v>
      </c>
      <c r="C165" s="16" t="s">
        <v>2</v>
      </c>
      <c r="D165" s="17" t="s">
        <v>348</v>
      </c>
      <c r="E165" s="18" t="s">
        <v>344</v>
      </c>
      <c r="F165" s="52" t="s">
        <v>1958</v>
      </c>
      <c r="G165" s="19" t="s">
        <v>5</v>
      </c>
      <c r="H165" s="49" t="s">
        <v>265</v>
      </c>
      <c r="I165" s="52"/>
      <c r="J165" s="52"/>
      <c r="K165" s="52"/>
      <c r="L165" s="52"/>
      <c r="M165" s="10" t="s">
        <v>784</v>
      </c>
      <c r="N165" s="10" t="s">
        <v>794</v>
      </c>
      <c r="O165" s="10" t="s">
        <v>789</v>
      </c>
      <c r="P165" s="10" t="s">
        <v>770</v>
      </c>
      <c r="Q165" s="11" t="s">
        <v>373</v>
      </c>
      <c r="R165" s="11" t="s">
        <v>373</v>
      </c>
      <c r="S165" s="11" t="s">
        <v>249</v>
      </c>
      <c r="T165" s="77"/>
    </row>
    <row r="166" spans="1:22" ht="80.5" x14ac:dyDescent="0.35">
      <c r="A166" s="56"/>
      <c r="B166" s="59" t="s">
        <v>1954</v>
      </c>
      <c r="C166" s="16" t="s">
        <v>2</v>
      </c>
      <c r="D166" s="17" t="s">
        <v>349</v>
      </c>
      <c r="E166" s="18" t="s">
        <v>345</v>
      </c>
      <c r="F166" s="52" t="s">
        <v>2195</v>
      </c>
      <c r="G166" s="19" t="s">
        <v>5</v>
      </c>
      <c r="H166" s="49" t="s">
        <v>265</v>
      </c>
      <c r="I166" s="52" t="s">
        <v>509</v>
      </c>
      <c r="J166" s="52" t="s">
        <v>508</v>
      </c>
      <c r="K166" s="52" t="s">
        <v>510</v>
      </c>
      <c r="L166" s="52" t="s">
        <v>511</v>
      </c>
      <c r="M166" s="10" t="s">
        <v>795</v>
      </c>
      <c r="N166" s="10" t="s">
        <v>81</v>
      </c>
      <c r="O166" s="10" t="s">
        <v>81</v>
      </c>
      <c r="P166" s="10" t="s">
        <v>81</v>
      </c>
      <c r="Q166" s="11" t="s">
        <v>373</v>
      </c>
      <c r="R166" s="11" t="s">
        <v>373</v>
      </c>
      <c r="S166" s="11"/>
      <c r="T166" s="77"/>
    </row>
    <row r="167" spans="1:22" ht="115" x14ac:dyDescent="0.35">
      <c r="A167" s="56"/>
      <c r="B167" s="59" t="s">
        <v>83</v>
      </c>
      <c r="C167" s="6" t="s">
        <v>0</v>
      </c>
      <c r="D167" s="7" t="s">
        <v>93</v>
      </c>
      <c r="E167" s="8" t="s">
        <v>94</v>
      </c>
      <c r="F167" s="9" t="s">
        <v>2034</v>
      </c>
      <c r="G167" s="9" t="s">
        <v>5</v>
      </c>
      <c r="H167" s="47" t="s">
        <v>265</v>
      </c>
      <c r="I167" s="9" t="s">
        <v>513</v>
      </c>
      <c r="J167" s="9" t="s">
        <v>512</v>
      </c>
      <c r="K167" s="9" t="s">
        <v>514</v>
      </c>
      <c r="L167" s="9" t="s">
        <v>294</v>
      </c>
      <c r="M167" s="10"/>
      <c r="N167" s="10"/>
      <c r="O167" s="10"/>
      <c r="P167" s="10"/>
      <c r="Q167" s="11" t="s">
        <v>1283</v>
      </c>
      <c r="R167" s="11" t="s">
        <v>249</v>
      </c>
      <c r="S167" s="11"/>
      <c r="T167" s="76"/>
    </row>
    <row r="168" spans="1:22" ht="92" x14ac:dyDescent="0.35">
      <c r="A168" s="56"/>
      <c r="B168" s="59" t="s">
        <v>83</v>
      </c>
      <c r="C168" s="12" t="s">
        <v>1</v>
      </c>
      <c r="D168" s="13" t="s">
        <v>95</v>
      </c>
      <c r="E168" s="14" t="s">
        <v>96</v>
      </c>
      <c r="F168" s="15" t="s">
        <v>1980</v>
      </c>
      <c r="G168" s="15" t="s">
        <v>5</v>
      </c>
      <c r="H168" s="48" t="s">
        <v>265</v>
      </c>
      <c r="I168" s="15" t="s">
        <v>516</v>
      </c>
      <c r="J168" s="15" t="s">
        <v>515</v>
      </c>
      <c r="K168" s="15" t="s">
        <v>517</v>
      </c>
      <c r="L168" s="15" t="s">
        <v>518</v>
      </c>
      <c r="M168" s="10" t="s">
        <v>26</v>
      </c>
      <c r="N168" s="10" t="s">
        <v>26</v>
      </c>
      <c r="O168" s="10" t="s">
        <v>26</v>
      </c>
      <c r="P168" s="10" t="s">
        <v>26</v>
      </c>
      <c r="Q168" s="11" t="s">
        <v>1283</v>
      </c>
      <c r="R168" s="11" t="s">
        <v>1283</v>
      </c>
      <c r="S168" s="11"/>
      <c r="T168" s="77"/>
    </row>
    <row r="169" spans="1:22" ht="69" x14ac:dyDescent="0.35">
      <c r="A169" s="56"/>
      <c r="B169" s="59" t="s">
        <v>83</v>
      </c>
      <c r="C169" s="16" t="s">
        <v>2</v>
      </c>
      <c r="D169" s="17" t="s">
        <v>97</v>
      </c>
      <c r="E169" s="18" t="s">
        <v>98</v>
      </c>
      <c r="F169" s="19" t="s">
        <v>1981</v>
      </c>
      <c r="G169" s="19" t="s">
        <v>5</v>
      </c>
      <c r="H169" s="49" t="s">
        <v>265</v>
      </c>
      <c r="I169" s="19" t="s">
        <v>520</v>
      </c>
      <c r="J169" s="19" t="s">
        <v>519</v>
      </c>
      <c r="K169" s="19" t="s">
        <v>521</v>
      </c>
      <c r="L169" s="19" t="s">
        <v>522</v>
      </c>
      <c r="M169" s="10" t="s">
        <v>26</v>
      </c>
      <c r="N169" s="10" t="s">
        <v>26</v>
      </c>
      <c r="O169" s="10" t="s">
        <v>26</v>
      </c>
      <c r="P169" s="10" t="s">
        <v>26</v>
      </c>
      <c r="Q169" s="11" t="s">
        <v>1283</v>
      </c>
      <c r="R169" s="11" t="s">
        <v>1283</v>
      </c>
      <c r="S169" s="11"/>
      <c r="T169" s="77"/>
    </row>
    <row r="170" spans="1:22" ht="46" x14ac:dyDescent="0.35">
      <c r="A170" s="56"/>
      <c r="B170" s="59" t="s">
        <v>83</v>
      </c>
      <c r="C170" s="16" t="s">
        <v>2</v>
      </c>
      <c r="D170" s="17" t="s">
        <v>99</v>
      </c>
      <c r="E170" s="18" t="s">
        <v>805</v>
      </c>
      <c r="F170" s="19" t="s">
        <v>806</v>
      </c>
      <c r="G170" s="19" t="str">
        <f>"Decision 
If yes, proceed to step "&amp;D172&amp;" 
If no, proceed to "&amp;D171&amp;""</f>
        <v>Decision 
If yes, proceed to step 3.1.4 
If no, proceed to 3.1.3</v>
      </c>
      <c r="H170" s="49" t="s">
        <v>264</v>
      </c>
      <c r="I170" s="19"/>
      <c r="J170" s="19"/>
      <c r="K170" s="19"/>
      <c r="L170" s="19"/>
      <c r="M170" s="10"/>
      <c r="N170" s="10"/>
      <c r="O170" s="10"/>
      <c r="P170" s="10"/>
      <c r="Q170" s="11" t="s">
        <v>1983</v>
      </c>
      <c r="R170" s="11" t="s">
        <v>1283</v>
      </c>
      <c r="S170" s="11"/>
      <c r="T170" s="77"/>
    </row>
    <row r="171" spans="1:22" ht="69" x14ac:dyDescent="0.35">
      <c r="A171" s="56"/>
      <c r="B171" s="59" t="s">
        <v>83</v>
      </c>
      <c r="C171" s="16" t="s">
        <v>2</v>
      </c>
      <c r="D171" s="17" t="s">
        <v>100</v>
      </c>
      <c r="E171" s="18" t="s">
        <v>804</v>
      </c>
      <c r="F171" s="52" t="s">
        <v>1990</v>
      </c>
      <c r="G171" s="19" t="s">
        <v>5</v>
      </c>
      <c r="H171" s="49" t="s">
        <v>264</v>
      </c>
      <c r="I171" s="19" t="s">
        <v>1101</v>
      </c>
      <c r="J171" s="19" t="s">
        <v>809</v>
      </c>
      <c r="K171" s="19"/>
      <c r="L171" s="19"/>
      <c r="M171" s="10" t="s">
        <v>808</v>
      </c>
      <c r="N171" s="10" t="s">
        <v>810</v>
      </c>
      <c r="O171" s="10"/>
      <c r="P171" s="10"/>
      <c r="Q171" s="11" t="s">
        <v>1983</v>
      </c>
      <c r="R171" s="11" t="s">
        <v>1283</v>
      </c>
      <c r="S171" s="11" t="s">
        <v>1982</v>
      </c>
      <c r="T171" s="77"/>
      <c r="V171" s="89" t="s">
        <v>1089</v>
      </c>
    </row>
    <row r="172" spans="1:22" ht="46" x14ac:dyDescent="0.35">
      <c r="A172" s="56"/>
      <c r="B172" s="59" t="s">
        <v>83</v>
      </c>
      <c r="C172" s="16" t="s">
        <v>2</v>
      </c>
      <c r="D172" s="17" t="s">
        <v>101</v>
      </c>
      <c r="E172" s="18" t="s">
        <v>1991</v>
      </c>
      <c r="F172" s="19" t="s">
        <v>1989</v>
      </c>
      <c r="G172" s="19" t="s">
        <v>5</v>
      </c>
      <c r="H172" s="49" t="s">
        <v>267</v>
      </c>
      <c r="I172" s="19"/>
      <c r="J172" s="19"/>
      <c r="K172" s="19"/>
      <c r="L172" s="19"/>
      <c r="M172" s="10"/>
      <c r="N172" s="10"/>
      <c r="O172" s="10"/>
      <c r="P172" s="10"/>
      <c r="Q172" s="11" t="s">
        <v>249</v>
      </c>
      <c r="R172" s="11" t="s">
        <v>249</v>
      </c>
      <c r="S172" s="11"/>
      <c r="T172" s="77"/>
    </row>
    <row r="173" spans="1:22" ht="46" x14ac:dyDescent="0.35">
      <c r="A173" s="56"/>
      <c r="B173" s="59" t="s">
        <v>83</v>
      </c>
      <c r="C173" s="16" t="s">
        <v>2</v>
      </c>
      <c r="D173" s="17" t="s">
        <v>103</v>
      </c>
      <c r="E173" s="18" t="s">
        <v>813</v>
      </c>
      <c r="F173" s="19" t="s">
        <v>1984</v>
      </c>
      <c r="G173" s="19" t="str">
        <f>"Decision 
If yes, proceed to step "&amp;D174&amp;" 
If no, proceed to "&amp;D175&amp;""</f>
        <v>Decision 
If yes, proceed to step 3.1.6 
If no, proceed to 3.1.7</v>
      </c>
      <c r="H173" s="49" t="s">
        <v>267</v>
      </c>
      <c r="I173" s="19"/>
      <c r="J173" s="19"/>
      <c r="K173" s="19"/>
      <c r="L173" s="19"/>
      <c r="M173" s="10" t="s">
        <v>26</v>
      </c>
      <c r="N173" s="10" t="s">
        <v>26</v>
      </c>
      <c r="O173" s="10" t="s">
        <v>26</v>
      </c>
      <c r="P173" s="10" t="s">
        <v>26</v>
      </c>
      <c r="Q173" s="11" t="s">
        <v>1283</v>
      </c>
      <c r="R173" s="11" t="s">
        <v>1283</v>
      </c>
      <c r="S173" s="11"/>
      <c r="T173" s="77"/>
    </row>
    <row r="174" spans="1:22" ht="34.5" x14ac:dyDescent="0.35">
      <c r="A174" s="56"/>
      <c r="B174" s="59" t="s">
        <v>83</v>
      </c>
      <c r="C174" s="16" t="s">
        <v>2</v>
      </c>
      <c r="D174" s="17" t="s">
        <v>803</v>
      </c>
      <c r="E174" s="18" t="s">
        <v>814</v>
      </c>
      <c r="F174" s="19" t="s">
        <v>1985</v>
      </c>
      <c r="G174" s="19" t="s">
        <v>5</v>
      </c>
      <c r="H174" s="49" t="s">
        <v>267</v>
      </c>
      <c r="I174" s="19"/>
      <c r="J174" s="19" t="s">
        <v>812</v>
      </c>
      <c r="K174" s="19"/>
      <c r="L174" s="19"/>
      <c r="M174" s="10" t="s">
        <v>26</v>
      </c>
      <c r="N174" s="10" t="s">
        <v>26</v>
      </c>
      <c r="O174" s="10" t="s">
        <v>26</v>
      </c>
      <c r="P174" s="10" t="s">
        <v>26</v>
      </c>
      <c r="Q174" s="11" t="s">
        <v>1283</v>
      </c>
      <c r="R174" s="11" t="s">
        <v>249</v>
      </c>
      <c r="S174" s="11"/>
      <c r="T174" s="77"/>
    </row>
    <row r="175" spans="1:22" ht="46" x14ac:dyDescent="0.35">
      <c r="A175" s="56"/>
      <c r="B175" s="59" t="s">
        <v>83</v>
      </c>
      <c r="C175" s="16" t="s">
        <v>2</v>
      </c>
      <c r="D175" s="17" t="s">
        <v>807</v>
      </c>
      <c r="E175" s="18" t="s">
        <v>102</v>
      </c>
      <c r="F175" s="19" t="s">
        <v>1988</v>
      </c>
      <c r="G175" s="19" t="s">
        <v>5</v>
      </c>
      <c r="H175" s="49" t="s">
        <v>264</v>
      </c>
      <c r="I175" s="19"/>
      <c r="J175" s="19"/>
      <c r="K175" s="19"/>
      <c r="L175" s="19"/>
      <c r="M175" s="10" t="s">
        <v>26</v>
      </c>
      <c r="N175" s="10" t="s">
        <v>26</v>
      </c>
      <c r="O175" s="10" t="s">
        <v>26</v>
      </c>
      <c r="P175" s="10" t="s">
        <v>26</v>
      </c>
      <c r="Q175" s="11" t="s">
        <v>1983</v>
      </c>
      <c r="R175" s="11" t="s">
        <v>1283</v>
      </c>
      <c r="S175" s="11"/>
      <c r="T175" s="77"/>
    </row>
    <row r="176" spans="1:22" ht="46" x14ac:dyDescent="0.35">
      <c r="A176" s="56"/>
      <c r="B176" s="59" t="s">
        <v>83</v>
      </c>
      <c r="C176" s="16" t="s">
        <v>2</v>
      </c>
      <c r="D176" s="17" t="s">
        <v>811</v>
      </c>
      <c r="E176" s="18" t="s">
        <v>1986</v>
      </c>
      <c r="F176" s="19" t="s">
        <v>1987</v>
      </c>
      <c r="G176" s="19" t="s">
        <v>5</v>
      </c>
      <c r="H176" s="49" t="s">
        <v>264</v>
      </c>
      <c r="I176" s="19"/>
      <c r="J176" s="19"/>
      <c r="K176" s="19"/>
      <c r="L176" s="19"/>
      <c r="M176" s="10" t="s">
        <v>26</v>
      </c>
      <c r="N176" s="10" t="s">
        <v>26</v>
      </c>
      <c r="O176" s="10" t="s">
        <v>26</v>
      </c>
      <c r="P176" s="10" t="s">
        <v>26</v>
      </c>
      <c r="Q176" s="11" t="s">
        <v>1983</v>
      </c>
      <c r="R176" s="11" t="s">
        <v>249</v>
      </c>
      <c r="S176" s="11"/>
      <c r="T176" s="77"/>
    </row>
    <row r="177" spans="1:20" ht="103.5" x14ac:dyDescent="0.35">
      <c r="A177" s="56"/>
      <c r="B177" s="59" t="s">
        <v>2202</v>
      </c>
      <c r="C177" s="12" t="s">
        <v>1</v>
      </c>
      <c r="D177" s="13" t="s">
        <v>104</v>
      </c>
      <c r="E177" s="14" t="s">
        <v>105</v>
      </c>
      <c r="F177" s="15" t="s">
        <v>1992</v>
      </c>
      <c r="G177" s="15" t="s">
        <v>5</v>
      </c>
      <c r="H177" s="48" t="s">
        <v>265</v>
      </c>
      <c r="I177" s="15" t="s">
        <v>524</v>
      </c>
      <c r="J177" s="15" t="s">
        <v>523</v>
      </c>
      <c r="K177" s="15" t="s">
        <v>525</v>
      </c>
      <c r="L177" s="15" t="s">
        <v>526</v>
      </c>
      <c r="M177" s="10" t="s">
        <v>25</v>
      </c>
      <c r="N177" s="10" t="s">
        <v>106</v>
      </c>
      <c r="O177" s="10" t="s">
        <v>81</v>
      </c>
      <c r="P177" s="10" t="s">
        <v>81</v>
      </c>
      <c r="Q177" s="11" t="s">
        <v>1283</v>
      </c>
      <c r="R177" s="11" t="s">
        <v>249</v>
      </c>
      <c r="S177" s="11" t="s">
        <v>2196</v>
      </c>
      <c r="T177" s="77"/>
    </row>
    <row r="178" spans="1:20" ht="92" x14ac:dyDescent="0.35">
      <c r="A178" s="56"/>
      <c r="B178" s="154" t="s">
        <v>2201</v>
      </c>
      <c r="C178" s="149" t="s">
        <v>2</v>
      </c>
      <c r="D178" s="148" t="s">
        <v>107</v>
      </c>
      <c r="E178" s="147" t="s">
        <v>2203</v>
      </c>
      <c r="F178" s="146" t="s">
        <v>2204</v>
      </c>
      <c r="G178" s="146" t="s">
        <v>5</v>
      </c>
      <c r="H178" s="150" t="s">
        <v>265</v>
      </c>
      <c r="I178" s="146"/>
      <c r="J178" s="146"/>
      <c r="K178" s="146"/>
      <c r="L178" s="146"/>
      <c r="M178" s="160"/>
      <c r="N178" s="160"/>
      <c r="O178" s="160"/>
      <c r="P178" s="160"/>
      <c r="Q178" s="151" t="s">
        <v>1283</v>
      </c>
      <c r="R178" s="151" t="s">
        <v>1283</v>
      </c>
      <c r="S178" s="151" t="s">
        <v>249</v>
      </c>
      <c r="T178" s="161"/>
    </row>
    <row r="179" spans="1:20" ht="69" x14ac:dyDescent="0.35">
      <c r="A179" s="56"/>
      <c r="B179" s="59" t="s">
        <v>109</v>
      </c>
      <c r="C179" s="16" t="s">
        <v>2</v>
      </c>
      <c r="D179" s="17" t="s">
        <v>110</v>
      </c>
      <c r="E179" s="18" t="s">
        <v>108</v>
      </c>
      <c r="F179" s="19" t="s">
        <v>1993</v>
      </c>
      <c r="G179" s="19" t="s">
        <v>5</v>
      </c>
      <c r="H179" s="49" t="s">
        <v>265</v>
      </c>
      <c r="I179" s="19" t="s">
        <v>528</v>
      </c>
      <c r="J179" s="19" t="s">
        <v>527</v>
      </c>
      <c r="K179" s="19" t="s">
        <v>529</v>
      </c>
      <c r="L179" s="19" t="s">
        <v>530</v>
      </c>
      <c r="M179" s="10" t="s">
        <v>771</v>
      </c>
      <c r="N179" s="10" t="s">
        <v>796</v>
      </c>
      <c r="O179" s="10" t="s">
        <v>81</v>
      </c>
      <c r="P179" s="10" t="s">
        <v>81</v>
      </c>
      <c r="Q179" s="11" t="s">
        <v>1283</v>
      </c>
      <c r="R179" s="11" t="s">
        <v>1283</v>
      </c>
      <c r="S179" s="11"/>
      <c r="T179" s="77"/>
    </row>
    <row r="180" spans="1:20" ht="46" x14ac:dyDescent="0.35">
      <c r="A180" s="56"/>
      <c r="B180" s="59" t="s">
        <v>109</v>
      </c>
      <c r="C180" s="16" t="s">
        <v>2</v>
      </c>
      <c r="D180" s="17" t="s">
        <v>112</v>
      </c>
      <c r="E180" s="18" t="s">
        <v>111</v>
      </c>
      <c r="F180" s="19" t="s">
        <v>2197</v>
      </c>
      <c r="G180" s="19" t="s">
        <v>5</v>
      </c>
      <c r="H180" s="49" t="s">
        <v>265</v>
      </c>
      <c r="I180" s="19"/>
      <c r="J180" s="19"/>
      <c r="K180" s="19"/>
      <c r="L180" s="19"/>
      <c r="M180" s="10" t="s">
        <v>771</v>
      </c>
      <c r="N180" s="10" t="s">
        <v>779</v>
      </c>
      <c r="O180" s="10" t="s">
        <v>81</v>
      </c>
      <c r="P180" s="10" t="s">
        <v>81</v>
      </c>
      <c r="Q180" s="11" t="s">
        <v>249</v>
      </c>
      <c r="R180" s="11" t="s">
        <v>249</v>
      </c>
      <c r="S180" s="11" t="s">
        <v>2196</v>
      </c>
      <c r="T180" s="77"/>
    </row>
    <row r="181" spans="1:20" ht="46" x14ac:dyDescent="0.35">
      <c r="A181" s="56"/>
      <c r="B181" s="59" t="s">
        <v>109</v>
      </c>
      <c r="C181" s="16" t="s">
        <v>2</v>
      </c>
      <c r="D181" s="17" t="s">
        <v>113</v>
      </c>
      <c r="E181" s="18" t="s">
        <v>1994</v>
      </c>
      <c r="F181" s="19" t="s">
        <v>1995</v>
      </c>
      <c r="G181" s="111" t="str">
        <f>"Decision 
If yes, proceed to step "&amp;D182&amp;" 
If no, proceed to "&amp;D179&amp;""</f>
        <v>Decision 
If yes, proceed to step 3.2.5 
If no, proceed to 3.2.2</v>
      </c>
      <c r="H181" s="49" t="s">
        <v>265</v>
      </c>
      <c r="I181" s="19"/>
      <c r="J181" s="19"/>
      <c r="K181" s="19"/>
      <c r="L181" s="19"/>
      <c r="M181" s="10" t="s">
        <v>770</v>
      </c>
      <c r="N181" s="10" t="s">
        <v>770</v>
      </c>
      <c r="O181" s="10" t="s">
        <v>81</v>
      </c>
      <c r="P181" s="10" t="s">
        <v>81</v>
      </c>
      <c r="Q181" s="11" t="s">
        <v>249</v>
      </c>
      <c r="R181" s="11" t="s">
        <v>249</v>
      </c>
      <c r="S181" s="11" t="s">
        <v>2196</v>
      </c>
      <c r="T181" s="77"/>
    </row>
    <row r="182" spans="1:20" ht="57.5" x14ac:dyDescent="0.35">
      <c r="A182" s="56"/>
      <c r="B182" s="59" t="s">
        <v>1705</v>
      </c>
      <c r="C182" s="16" t="s">
        <v>2</v>
      </c>
      <c r="D182" s="17" t="s">
        <v>1996</v>
      </c>
      <c r="E182" s="18" t="s">
        <v>1997</v>
      </c>
      <c r="F182" s="19" t="s">
        <v>1998</v>
      </c>
      <c r="G182" s="19" t="s">
        <v>5</v>
      </c>
      <c r="H182" s="49" t="s">
        <v>264</v>
      </c>
      <c r="I182" s="19"/>
      <c r="J182" s="19"/>
      <c r="K182" s="19"/>
      <c r="L182" s="19"/>
      <c r="M182" s="10" t="s">
        <v>81</v>
      </c>
      <c r="N182" s="10" t="s">
        <v>106</v>
      </c>
      <c r="O182" s="10" t="s">
        <v>81</v>
      </c>
      <c r="P182" s="10" t="s">
        <v>81</v>
      </c>
      <c r="Q182" s="11" t="s">
        <v>1983</v>
      </c>
      <c r="R182" s="11" t="s">
        <v>1283</v>
      </c>
      <c r="S182" s="11"/>
      <c r="T182" s="77"/>
    </row>
    <row r="183" spans="1:20" ht="46" x14ac:dyDescent="0.35">
      <c r="A183" s="56"/>
      <c r="B183" s="59" t="s">
        <v>109</v>
      </c>
      <c r="C183" s="16" t="s">
        <v>2</v>
      </c>
      <c r="D183" s="17" t="s">
        <v>2200</v>
      </c>
      <c r="E183" s="18" t="s">
        <v>2000</v>
      </c>
      <c r="F183" s="19" t="s">
        <v>1999</v>
      </c>
      <c r="G183" s="19" t="s">
        <v>5</v>
      </c>
      <c r="H183" s="49" t="s">
        <v>264</v>
      </c>
      <c r="I183" s="19"/>
      <c r="J183" s="19"/>
      <c r="K183" s="19"/>
      <c r="L183" s="19"/>
      <c r="M183" s="10"/>
      <c r="N183" s="10"/>
      <c r="O183" s="10"/>
      <c r="P183" s="10"/>
      <c r="Q183" s="11" t="s">
        <v>1983</v>
      </c>
      <c r="R183" s="11" t="s">
        <v>1283</v>
      </c>
      <c r="S183" s="11"/>
      <c r="T183" s="77"/>
    </row>
    <row r="184" spans="1:20" ht="103.5" x14ac:dyDescent="0.35">
      <c r="A184" s="56"/>
      <c r="B184" s="59" t="s">
        <v>1050</v>
      </c>
      <c r="C184" s="12" t="s">
        <v>1</v>
      </c>
      <c r="D184" s="13" t="s">
        <v>114</v>
      </c>
      <c r="E184" s="14" t="s">
        <v>115</v>
      </c>
      <c r="F184" s="15" t="s">
        <v>2001</v>
      </c>
      <c r="G184" s="15" t="s">
        <v>5</v>
      </c>
      <c r="H184" s="48" t="s">
        <v>265</v>
      </c>
      <c r="I184" s="15" t="s">
        <v>532</v>
      </c>
      <c r="J184" s="15" t="s">
        <v>531</v>
      </c>
      <c r="K184" s="15" t="s">
        <v>533</v>
      </c>
      <c r="L184" s="15" t="s">
        <v>534</v>
      </c>
      <c r="M184" s="10" t="s">
        <v>25</v>
      </c>
      <c r="N184" s="10" t="s">
        <v>69</v>
      </c>
      <c r="O184" s="10" t="s">
        <v>81</v>
      </c>
      <c r="P184" s="10" t="s">
        <v>81</v>
      </c>
      <c r="Q184" s="11" t="s">
        <v>69</v>
      </c>
      <c r="R184" s="11" t="s">
        <v>69</v>
      </c>
      <c r="S184" s="11"/>
      <c r="T184" s="77"/>
    </row>
    <row r="185" spans="1:20" ht="46" x14ac:dyDescent="0.35">
      <c r="A185" s="56"/>
      <c r="B185" s="59" t="s">
        <v>37</v>
      </c>
      <c r="C185" s="16" t="s">
        <v>2</v>
      </c>
      <c r="D185" s="17" t="s">
        <v>116</v>
      </c>
      <c r="E185" s="18" t="s">
        <v>117</v>
      </c>
      <c r="F185" s="19" t="s">
        <v>2002</v>
      </c>
      <c r="G185" s="19" t="s">
        <v>5</v>
      </c>
      <c r="H185" s="49" t="s">
        <v>265</v>
      </c>
      <c r="I185" s="19"/>
      <c r="J185" s="19"/>
      <c r="K185" s="19"/>
      <c r="L185" s="19"/>
      <c r="M185" s="10" t="s">
        <v>771</v>
      </c>
      <c r="N185" s="10" t="s">
        <v>69</v>
      </c>
      <c r="O185" s="10" t="s">
        <v>81</v>
      </c>
      <c r="P185" s="10" t="s">
        <v>81</v>
      </c>
      <c r="Q185" s="11" t="s">
        <v>69</v>
      </c>
      <c r="R185" s="11" t="s">
        <v>69</v>
      </c>
      <c r="S185" s="11"/>
      <c r="T185" s="77"/>
    </row>
    <row r="186" spans="1:20" ht="80.5" x14ac:dyDescent="0.35">
      <c r="A186" s="56"/>
      <c r="B186" s="59" t="s">
        <v>37</v>
      </c>
      <c r="C186" s="20" t="s">
        <v>3</v>
      </c>
      <c r="D186" s="21" t="s">
        <v>374</v>
      </c>
      <c r="E186" s="22" t="s">
        <v>377</v>
      </c>
      <c r="F186" s="23" t="s">
        <v>2004</v>
      </c>
      <c r="G186" s="23" t="s">
        <v>5</v>
      </c>
      <c r="H186" s="50" t="s">
        <v>265</v>
      </c>
      <c r="I186" s="23"/>
      <c r="J186" s="23"/>
      <c r="K186" s="23"/>
      <c r="L186" s="29"/>
      <c r="M186" s="32"/>
      <c r="N186" s="10"/>
      <c r="O186" s="32"/>
      <c r="P186" s="10"/>
      <c r="Q186" s="11" t="s">
        <v>69</v>
      </c>
      <c r="R186" s="11" t="s">
        <v>69</v>
      </c>
      <c r="S186" s="11"/>
      <c r="T186" s="77"/>
    </row>
    <row r="187" spans="1:20" ht="34.5" x14ac:dyDescent="0.35">
      <c r="A187" s="56"/>
      <c r="B187" s="59" t="s">
        <v>37</v>
      </c>
      <c r="C187" s="20" t="s">
        <v>3</v>
      </c>
      <c r="D187" s="21" t="s">
        <v>378</v>
      </c>
      <c r="E187" s="22" t="s">
        <v>375</v>
      </c>
      <c r="F187" s="23" t="s">
        <v>2003</v>
      </c>
      <c r="G187" s="23" t="s">
        <v>5</v>
      </c>
      <c r="H187" s="50" t="s">
        <v>267</v>
      </c>
      <c r="I187" s="23"/>
      <c r="J187" s="23"/>
      <c r="K187" s="23"/>
      <c r="L187" s="29"/>
      <c r="M187" s="32"/>
      <c r="N187" s="10"/>
      <c r="O187" s="32"/>
      <c r="P187" s="10"/>
      <c r="Q187" s="11" t="s">
        <v>69</v>
      </c>
      <c r="R187" s="11" t="s">
        <v>69</v>
      </c>
      <c r="S187" s="11"/>
      <c r="T187" s="77"/>
    </row>
    <row r="188" spans="1:20" ht="34.5" x14ac:dyDescent="0.35">
      <c r="A188" s="56"/>
      <c r="B188" s="59" t="s">
        <v>1050</v>
      </c>
      <c r="C188" s="20" t="s">
        <v>3</v>
      </c>
      <c r="D188" s="21" t="s">
        <v>379</v>
      </c>
      <c r="E188" s="22" t="s">
        <v>376</v>
      </c>
      <c r="F188" s="23" t="s">
        <v>2014</v>
      </c>
      <c r="G188" s="23" t="s">
        <v>5</v>
      </c>
      <c r="H188" s="50" t="s">
        <v>265</v>
      </c>
      <c r="I188" s="23"/>
      <c r="J188" s="23"/>
      <c r="K188" s="23"/>
      <c r="L188" s="29"/>
      <c r="M188" s="32"/>
      <c r="N188" s="10"/>
      <c r="O188" s="32"/>
      <c r="P188" s="10"/>
      <c r="Q188" s="11" t="s">
        <v>69</v>
      </c>
      <c r="R188" s="11" t="s">
        <v>69</v>
      </c>
      <c r="S188" s="11"/>
      <c r="T188" s="77"/>
    </row>
    <row r="189" spans="1:20" ht="80.5" x14ac:dyDescent="0.35">
      <c r="A189" s="56"/>
      <c r="B189" s="59" t="s">
        <v>37</v>
      </c>
      <c r="C189" s="16" t="s">
        <v>2</v>
      </c>
      <c r="D189" s="17" t="s">
        <v>118</v>
      </c>
      <c r="E189" s="18" t="s">
        <v>119</v>
      </c>
      <c r="F189" s="19" t="s">
        <v>2005</v>
      </c>
      <c r="G189" s="19" t="s">
        <v>5</v>
      </c>
      <c r="H189" s="49" t="s">
        <v>265</v>
      </c>
      <c r="I189" s="19" t="s">
        <v>536</v>
      </c>
      <c r="J189" s="19" t="s">
        <v>535</v>
      </c>
      <c r="K189" s="19" t="s">
        <v>537</v>
      </c>
      <c r="L189" s="19" t="s">
        <v>538</v>
      </c>
      <c r="M189" s="10" t="s">
        <v>771</v>
      </c>
      <c r="N189" s="10" t="s">
        <v>69</v>
      </c>
      <c r="O189" s="10" t="s">
        <v>81</v>
      </c>
      <c r="P189" s="10" t="s">
        <v>81</v>
      </c>
      <c r="Q189" s="11" t="s">
        <v>69</v>
      </c>
      <c r="R189" s="11" t="s">
        <v>69</v>
      </c>
      <c r="S189" s="11"/>
      <c r="T189" s="77"/>
    </row>
    <row r="190" spans="1:20" ht="46" x14ac:dyDescent="0.35">
      <c r="A190" s="56"/>
      <c r="B190" s="59" t="s">
        <v>37</v>
      </c>
      <c r="C190" s="20" t="s">
        <v>3</v>
      </c>
      <c r="D190" s="21" t="s">
        <v>384</v>
      </c>
      <c r="E190" s="22" t="s">
        <v>380</v>
      </c>
      <c r="F190" s="23" t="s">
        <v>2006</v>
      </c>
      <c r="G190" s="23" t="s">
        <v>5</v>
      </c>
      <c r="H190" s="50" t="s">
        <v>267</v>
      </c>
      <c r="I190" s="23"/>
      <c r="J190" s="23"/>
      <c r="K190" s="23"/>
      <c r="L190" s="29"/>
      <c r="M190" s="32"/>
      <c r="N190" s="10"/>
      <c r="O190" s="32"/>
      <c r="P190" s="10"/>
      <c r="Q190" s="11" t="s">
        <v>69</v>
      </c>
      <c r="R190" s="11" t="s">
        <v>69</v>
      </c>
      <c r="S190" s="11"/>
      <c r="T190" s="77"/>
    </row>
    <row r="191" spans="1:20" ht="34.5" x14ac:dyDescent="0.35">
      <c r="A191" s="56"/>
      <c r="B191" s="59" t="s">
        <v>37</v>
      </c>
      <c r="C191" s="20" t="s">
        <v>3</v>
      </c>
      <c r="D191" s="21" t="s">
        <v>389</v>
      </c>
      <c r="E191" s="22" t="s">
        <v>381</v>
      </c>
      <c r="F191" s="23" t="s">
        <v>2007</v>
      </c>
      <c r="G191" s="23" t="s">
        <v>5</v>
      </c>
      <c r="H191" s="50" t="s">
        <v>265</v>
      </c>
      <c r="I191" s="23"/>
      <c r="J191" s="23"/>
      <c r="K191" s="23"/>
      <c r="L191" s="29"/>
      <c r="M191" s="32"/>
      <c r="N191" s="10"/>
      <c r="O191" s="32"/>
      <c r="P191" s="10"/>
      <c r="Q191" s="11" t="s">
        <v>69</v>
      </c>
      <c r="R191" s="11" t="s">
        <v>69</v>
      </c>
      <c r="S191" s="11"/>
      <c r="T191" s="77"/>
    </row>
    <row r="192" spans="1:20" ht="23" x14ac:dyDescent="0.35">
      <c r="A192" s="56"/>
      <c r="B192" s="59" t="s">
        <v>37</v>
      </c>
      <c r="C192" s="20" t="s">
        <v>3</v>
      </c>
      <c r="D192" s="21" t="s">
        <v>390</v>
      </c>
      <c r="E192" s="22" t="s">
        <v>382</v>
      </c>
      <c r="F192" s="23" t="s">
        <v>2008</v>
      </c>
      <c r="G192" s="23" t="s">
        <v>5</v>
      </c>
      <c r="H192" s="50" t="s">
        <v>265</v>
      </c>
      <c r="I192" s="23"/>
      <c r="J192" s="23"/>
      <c r="K192" s="23"/>
      <c r="L192" s="29"/>
      <c r="M192" s="32"/>
      <c r="N192" s="10"/>
      <c r="O192" s="32"/>
      <c r="P192" s="10"/>
      <c r="Q192" s="11" t="s">
        <v>69</v>
      </c>
      <c r="R192" s="11" t="s">
        <v>69</v>
      </c>
      <c r="S192" s="11" t="s">
        <v>249</v>
      </c>
      <c r="T192" s="77"/>
    </row>
    <row r="193" spans="1:22" ht="34.5" x14ac:dyDescent="0.35">
      <c r="A193" s="56"/>
      <c r="B193" s="59" t="s">
        <v>37</v>
      </c>
      <c r="C193" s="20" t="s">
        <v>3</v>
      </c>
      <c r="D193" s="21" t="s">
        <v>391</v>
      </c>
      <c r="E193" s="22" t="s">
        <v>383</v>
      </c>
      <c r="F193" s="23" t="s">
        <v>2009</v>
      </c>
      <c r="G193" s="23" t="s">
        <v>5</v>
      </c>
      <c r="H193" s="50" t="s">
        <v>265</v>
      </c>
      <c r="I193" s="23"/>
      <c r="J193" s="23"/>
      <c r="K193" s="23"/>
      <c r="L193" s="29"/>
      <c r="M193" s="32"/>
      <c r="N193" s="10"/>
      <c r="O193" s="32"/>
      <c r="P193" s="10"/>
      <c r="Q193" s="11" t="s">
        <v>69</v>
      </c>
      <c r="R193" s="11" t="s">
        <v>69</v>
      </c>
      <c r="S193" s="11" t="s">
        <v>249</v>
      </c>
      <c r="T193" s="77"/>
    </row>
    <row r="194" spans="1:22" ht="57.5" x14ac:dyDescent="0.35">
      <c r="A194" s="56"/>
      <c r="B194" s="59" t="s">
        <v>37</v>
      </c>
      <c r="C194" s="20" t="s">
        <v>3</v>
      </c>
      <c r="D194" s="21" t="s">
        <v>392</v>
      </c>
      <c r="E194" s="22" t="s">
        <v>393</v>
      </c>
      <c r="F194" s="23" t="s">
        <v>2010</v>
      </c>
      <c r="G194" s="105" t="str">
        <f>"Decision 
If yes, proceed to step "&amp;D195&amp;" 
If no, proceed to "&amp;D190&amp;""</f>
        <v>Decision 
If yes, proceed to step 3.3.3 
If no, proceed to 3.3.2.1</v>
      </c>
      <c r="H194" s="50" t="s">
        <v>267</v>
      </c>
      <c r="I194" s="23"/>
      <c r="J194" s="23"/>
      <c r="K194" s="23"/>
      <c r="L194" s="29"/>
      <c r="M194" s="32"/>
      <c r="N194" s="10"/>
      <c r="O194" s="32"/>
      <c r="P194" s="10"/>
      <c r="Q194" s="11" t="s">
        <v>69</v>
      </c>
      <c r="R194" s="11" t="s">
        <v>69</v>
      </c>
      <c r="S194" s="11"/>
      <c r="T194" s="77"/>
    </row>
    <row r="195" spans="1:22" ht="46" x14ac:dyDescent="0.35">
      <c r="A195" s="56"/>
      <c r="B195" s="59" t="s">
        <v>1050</v>
      </c>
      <c r="C195" s="16" t="s">
        <v>2</v>
      </c>
      <c r="D195" s="17" t="s">
        <v>120</v>
      </c>
      <c r="E195" s="18" t="s">
        <v>121</v>
      </c>
      <c r="F195" s="19" t="s">
        <v>2011</v>
      </c>
      <c r="G195" s="19" t="s">
        <v>5</v>
      </c>
      <c r="H195" s="49" t="s">
        <v>264</v>
      </c>
      <c r="I195" s="19"/>
      <c r="J195" s="19"/>
      <c r="K195" s="19"/>
      <c r="L195" s="19"/>
      <c r="M195" s="10" t="s">
        <v>81</v>
      </c>
      <c r="N195" s="10" t="s">
        <v>69</v>
      </c>
      <c r="O195" s="10" t="s">
        <v>81</v>
      </c>
      <c r="P195" s="10" t="s">
        <v>81</v>
      </c>
      <c r="Q195" s="11" t="s">
        <v>1717</v>
      </c>
      <c r="R195" s="11" t="s">
        <v>69</v>
      </c>
      <c r="S195" s="11"/>
      <c r="T195" s="77"/>
    </row>
    <row r="196" spans="1:22" ht="34.5" x14ac:dyDescent="0.35">
      <c r="A196" s="56"/>
      <c r="B196" s="59" t="s">
        <v>37</v>
      </c>
      <c r="C196" s="20" t="s">
        <v>3</v>
      </c>
      <c r="D196" s="21" t="s">
        <v>386</v>
      </c>
      <c r="E196" s="22" t="s">
        <v>385</v>
      </c>
      <c r="F196" s="23" t="s">
        <v>2012</v>
      </c>
      <c r="G196" s="23" t="s">
        <v>5</v>
      </c>
      <c r="H196" s="50" t="s">
        <v>264</v>
      </c>
      <c r="I196" s="23"/>
      <c r="J196" s="23"/>
      <c r="K196" s="23"/>
      <c r="L196" s="29"/>
      <c r="M196" s="32"/>
      <c r="N196" s="10"/>
      <c r="O196" s="32"/>
      <c r="P196" s="10"/>
      <c r="Q196" s="11" t="s">
        <v>1717</v>
      </c>
      <c r="R196" s="11" t="s">
        <v>69</v>
      </c>
      <c r="S196" s="11"/>
      <c r="T196" s="77"/>
    </row>
    <row r="197" spans="1:22" ht="34.5" x14ac:dyDescent="0.35">
      <c r="A197" s="56"/>
      <c r="B197" s="59" t="s">
        <v>83</v>
      </c>
      <c r="C197" s="20" t="s">
        <v>3</v>
      </c>
      <c r="D197" s="21" t="s">
        <v>388</v>
      </c>
      <c r="E197" s="22" t="s">
        <v>387</v>
      </c>
      <c r="F197" s="23" t="s">
        <v>2013</v>
      </c>
      <c r="G197" s="23" t="s">
        <v>5</v>
      </c>
      <c r="H197" s="50" t="s">
        <v>264</v>
      </c>
      <c r="I197" s="23"/>
      <c r="J197" s="23"/>
      <c r="K197" s="23"/>
      <c r="L197" s="29"/>
      <c r="M197" s="32"/>
      <c r="N197" s="10"/>
      <c r="O197" s="32"/>
      <c r="P197" s="10"/>
      <c r="Q197" s="11" t="s">
        <v>1717</v>
      </c>
      <c r="R197" s="11" t="s">
        <v>69</v>
      </c>
      <c r="S197" s="11"/>
      <c r="T197" s="77"/>
    </row>
    <row r="198" spans="1:22" ht="80.5" x14ac:dyDescent="0.35">
      <c r="A198" s="56"/>
      <c r="B198" s="59" t="s">
        <v>1704</v>
      </c>
      <c r="C198" s="12" t="s">
        <v>1</v>
      </c>
      <c r="D198" s="13" t="s">
        <v>122</v>
      </c>
      <c r="E198" s="14" t="s">
        <v>123</v>
      </c>
      <c r="F198" s="15" t="s">
        <v>2030</v>
      </c>
      <c r="G198" s="15" t="s">
        <v>5</v>
      </c>
      <c r="H198" s="48" t="s">
        <v>265</v>
      </c>
      <c r="I198" s="15" t="s">
        <v>1102</v>
      </c>
      <c r="J198" s="15" t="s">
        <v>539</v>
      </c>
      <c r="K198" s="15" t="s">
        <v>540</v>
      </c>
      <c r="L198" s="15" t="s">
        <v>1079</v>
      </c>
      <c r="M198" s="10" t="s">
        <v>26</v>
      </c>
      <c r="N198" s="10" t="s">
        <v>26</v>
      </c>
      <c r="O198" s="10" t="s">
        <v>26</v>
      </c>
      <c r="P198" s="10" t="s">
        <v>26</v>
      </c>
      <c r="Q198" s="11" t="s">
        <v>249</v>
      </c>
      <c r="R198" s="11" t="s">
        <v>1283</v>
      </c>
      <c r="S198" s="11"/>
      <c r="T198" s="77"/>
      <c r="V198" s="89" t="s">
        <v>1090</v>
      </c>
    </row>
    <row r="199" spans="1:22" ht="80.5" x14ac:dyDescent="0.35">
      <c r="A199" s="56"/>
      <c r="B199" s="59" t="s">
        <v>83</v>
      </c>
      <c r="C199" s="16" t="s">
        <v>2</v>
      </c>
      <c r="D199" s="17" t="s">
        <v>125</v>
      </c>
      <c r="E199" s="18" t="s">
        <v>126</v>
      </c>
      <c r="F199" s="19" t="s">
        <v>2015</v>
      </c>
      <c r="G199" s="19" t="s">
        <v>5</v>
      </c>
      <c r="H199" s="49" t="s">
        <v>265</v>
      </c>
      <c r="I199" s="19" t="s">
        <v>542</v>
      </c>
      <c r="J199" s="19" t="s">
        <v>541</v>
      </c>
      <c r="K199" s="19" t="s">
        <v>543</v>
      </c>
      <c r="L199" s="19" t="s">
        <v>544</v>
      </c>
      <c r="M199" s="10" t="s">
        <v>26</v>
      </c>
      <c r="N199" s="10" t="s">
        <v>26</v>
      </c>
      <c r="O199" s="10" t="s">
        <v>26</v>
      </c>
      <c r="P199" s="10" t="s">
        <v>26</v>
      </c>
      <c r="Q199" s="11" t="s">
        <v>249</v>
      </c>
      <c r="R199" s="11" t="s">
        <v>249</v>
      </c>
      <c r="S199" s="11" t="s">
        <v>2208</v>
      </c>
      <c r="T199" s="77"/>
    </row>
    <row r="200" spans="1:22" ht="57.5" x14ac:dyDescent="0.35">
      <c r="A200" s="56"/>
      <c r="B200" s="59" t="s">
        <v>83</v>
      </c>
      <c r="C200" s="20" t="s">
        <v>3</v>
      </c>
      <c r="D200" s="21" t="s">
        <v>815</v>
      </c>
      <c r="E200" s="22" t="s">
        <v>818</v>
      </c>
      <c r="F200" s="23" t="s">
        <v>2031</v>
      </c>
      <c r="G200" s="23" t="s">
        <v>5</v>
      </c>
      <c r="H200" s="50" t="s">
        <v>267</v>
      </c>
      <c r="I200" s="23"/>
      <c r="J200" s="23"/>
      <c r="K200" s="23"/>
      <c r="L200" s="23"/>
      <c r="M200" s="10" t="s">
        <v>26</v>
      </c>
      <c r="N200" s="10" t="s">
        <v>26</v>
      </c>
      <c r="O200" s="10" t="s">
        <v>26</v>
      </c>
      <c r="P200" s="10" t="s">
        <v>26</v>
      </c>
      <c r="Q200" s="11" t="s">
        <v>249</v>
      </c>
      <c r="R200" s="11" t="s">
        <v>249</v>
      </c>
      <c r="S200" s="11"/>
      <c r="T200" s="77"/>
    </row>
    <row r="201" spans="1:22" ht="46" x14ac:dyDescent="0.35">
      <c r="A201" s="56"/>
      <c r="B201" s="59" t="s">
        <v>83</v>
      </c>
      <c r="C201" s="20" t="s">
        <v>3</v>
      </c>
      <c r="D201" s="21" t="s">
        <v>817</v>
      </c>
      <c r="E201" s="22" t="s">
        <v>816</v>
      </c>
      <c r="F201" s="23" t="s">
        <v>2016</v>
      </c>
      <c r="G201" s="23" t="s">
        <v>5</v>
      </c>
      <c r="H201" s="50" t="s">
        <v>265</v>
      </c>
      <c r="I201" s="23"/>
      <c r="J201" s="23"/>
      <c r="K201" s="23"/>
      <c r="L201" s="23"/>
      <c r="M201" s="10" t="s">
        <v>26</v>
      </c>
      <c r="N201" s="10" t="s">
        <v>26</v>
      </c>
      <c r="O201" s="10" t="s">
        <v>26</v>
      </c>
      <c r="P201" s="10" t="s">
        <v>26</v>
      </c>
      <c r="Q201" s="11" t="s">
        <v>249</v>
      </c>
      <c r="R201" s="11" t="s">
        <v>249</v>
      </c>
      <c r="S201" s="11"/>
      <c r="T201" s="77"/>
    </row>
    <row r="202" spans="1:22" ht="92" x14ac:dyDescent="0.35">
      <c r="A202" s="56"/>
      <c r="B202" s="59" t="s">
        <v>83</v>
      </c>
      <c r="C202" s="20" t="s">
        <v>3</v>
      </c>
      <c r="D202" s="21" t="s">
        <v>2205</v>
      </c>
      <c r="E202" s="22" t="s">
        <v>2206</v>
      </c>
      <c r="F202" s="23" t="s">
        <v>2207</v>
      </c>
      <c r="G202" s="23" t="s">
        <v>5</v>
      </c>
      <c r="H202" s="50" t="s">
        <v>265</v>
      </c>
      <c r="I202" s="23"/>
      <c r="J202" s="23"/>
      <c r="K202" s="23"/>
      <c r="L202" s="23"/>
      <c r="M202" s="10"/>
      <c r="N202" s="10"/>
      <c r="O202" s="10"/>
      <c r="P202" s="10"/>
      <c r="Q202" s="11" t="s">
        <v>249</v>
      </c>
      <c r="R202" s="11" t="s">
        <v>249</v>
      </c>
      <c r="S202" s="11" t="s">
        <v>2208</v>
      </c>
      <c r="T202" s="77"/>
    </row>
    <row r="203" spans="1:22" ht="46" x14ac:dyDescent="0.35">
      <c r="A203" s="56"/>
      <c r="B203" s="59" t="s">
        <v>83</v>
      </c>
      <c r="C203" s="149" t="s">
        <v>2</v>
      </c>
      <c r="D203" s="148" t="s">
        <v>127</v>
      </c>
      <c r="E203" s="147" t="s">
        <v>128</v>
      </c>
      <c r="F203" s="146" t="s">
        <v>2032</v>
      </c>
      <c r="G203" s="146" t="s">
        <v>5</v>
      </c>
      <c r="H203" s="49" t="s">
        <v>267</v>
      </c>
      <c r="I203" s="19"/>
      <c r="J203" s="19"/>
      <c r="K203" s="19"/>
      <c r="L203" s="19"/>
      <c r="M203" s="10" t="s">
        <v>26</v>
      </c>
      <c r="N203" s="10" t="s">
        <v>26</v>
      </c>
      <c r="O203" s="10" t="s">
        <v>26</v>
      </c>
      <c r="P203" s="10" t="s">
        <v>26</v>
      </c>
      <c r="Q203" s="11" t="s">
        <v>249</v>
      </c>
      <c r="R203" s="11" t="s">
        <v>249</v>
      </c>
      <c r="S203" s="11"/>
      <c r="T203" s="77"/>
    </row>
    <row r="204" spans="1:22" ht="34.5" x14ac:dyDescent="0.35">
      <c r="A204" s="56"/>
      <c r="B204" s="59" t="s">
        <v>2018</v>
      </c>
      <c r="C204" s="20" t="s">
        <v>3</v>
      </c>
      <c r="D204" s="30" t="s">
        <v>129</v>
      </c>
      <c r="E204" s="144" t="s">
        <v>819</v>
      </c>
      <c r="F204" s="23" t="s">
        <v>2017</v>
      </c>
      <c r="G204" s="23" t="s">
        <v>5</v>
      </c>
      <c r="H204" s="50" t="s">
        <v>267</v>
      </c>
      <c r="I204" s="23"/>
      <c r="J204" s="23"/>
      <c r="K204" s="23"/>
      <c r="L204" s="23"/>
      <c r="M204" s="10" t="s">
        <v>26</v>
      </c>
      <c r="N204" s="10" t="s">
        <v>26</v>
      </c>
      <c r="O204" s="10" t="s">
        <v>26</v>
      </c>
      <c r="P204" s="10" t="s">
        <v>26</v>
      </c>
      <c r="Q204" s="11" t="s">
        <v>1283</v>
      </c>
      <c r="R204" s="11" t="s">
        <v>1283</v>
      </c>
      <c r="S204" s="11" t="s">
        <v>249</v>
      </c>
      <c r="T204" s="77"/>
    </row>
    <row r="205" spans="1:22" ht="57.5" x14ac:dyDescent="0.35">
      <c r="A205" s="56"/>
      <c r="B205" s="59" t="s">
        <v>83</v>
      </c>
      <c r="C205" s="20" t="s">
        <v>3</v>
      </c>
      <c r="D205" s="30" t="s">
        <v>131</v>
      </c>
      <c r="E205" s="28" t="s">
        <v>134</v>
      </c>
      <c r="F205" s="23" t="s">
        <v>2019</v>
      </c>
      <c r="G205" s="23" t="str">
        <f>"Decision 
If yes, proceed to step "&amp;D206&amp;" 
If no, proceed to "&amp;D200&amp;""</f>
        <v>Decision 
If yes, proceed to step 3.4.2.3 
If no, proceed to 3.4.1.1</v>
      </c>
      <c r="H205" s="50" t="s">
        <v>267</v>
      </c>
      <c r="I205" s="23"/>
      <c r="J205" s="23"/>
      <c r="K205" s="23"/>
      <c r="L205" s="23"/>
      <c r="M205" s="10" t="s">
        <v>26</v>
      </c>
      <c r="N205" s="10" t="s">
        <v>26</v>
      </c>
      <c r="O205" s="10" t="s">
        <v>26</v>
      </c>
      <c r="P205" s="10" t="s">
        <v>26</v>
      </c>
      <c r="Q205" s="11" t="s">
        <v>1283</v>
      </c>
      <c r="R205" s="11" t="s">
        <v>1283</v>
      </c>
      <c r="S205" s="11"/>
      <c r="T205" s="77"/>
    </row>
    <row r="206" spans="1:22" ht="34.5" x14ac:dyDescent="0.35">
      <c r="A206" s="56"/>
      <c r="B206" s="59" t="s">
        <v>83</v>
      </c>
      <c r="C206" s="20" t="s">
        <v>3</v>
      </c>
      <c r="D206" s="30" t="s">
        <v>133</v>
      </c>
      <c r="E206" s="28" t="s">
        <v>136</v>
      </c>
      <c r="F206" s="23" t="s">
        <v>2020</v>
      </c>
      <c r="G206" s="145" t="s">
        <v>5</v>
      </c>
      <c r="H206" s="50" t="s">
        <v>267</v>
      </c>
      <c r="I206" s="23"/>
      <c r="J206" s="23"/>
      <c r="K206" s="23"/>
      <c r="L206" s="23"/>
      <c r="M206" s="10" t="s">
        <v>26</v>
      </c>
      <c r="N206" s="10" t="s">
        <v>26</v>
      </c>
      <c r="O206" s="10" t="s">
        <v>26</v>
      </c>
      <c r="P206" s="10" t="s">
        <v>26</v>
      </c>
      <c r="Q206" s="11" t="s">
        <v>249</v>
      </c>
      <c r="R206" s="11" t="s">
        <v>249</v>
      </c>
      <c r="S206" s="11" t="s">
        <v>1283</v>
      </c>
      <c r="T206" s="77"/>
    </row>
    <row r="207" spans="1:22" ht="57.5" x14ac:dyDescent="0.35">
      <c r="A207" s="56"/>
      <c r="B207" s="59" t="s">
        <v>83</v>
      </c>
      <c r="C207" s="20" t="s">
        <v>3</v>
      </c>
      <c r="D207" s="30" t="s">
        <v>135</v>
      </c>
      <c r="E207" s="28" t="s">
        <v>132</v>
      </c>
      <c r="F207" s="23" t="s">
        <v>2021</v>
      </c>
      <c r="G207" s="23" t="s">
        <v>5</v>
      </c>
      <c r="H207" s="50" t="s">
        <v>267</v>
      </c>
      <c r="I207" s="23"/>
      <c r="J207" s="23"/>
      <c r="K207" s="23"/>
      <c r="L207" s="23"/>
      <c r="M207" s="10" t="s">
        <v>26</v>
      </c>
      <c r="N207" s="10" t="s">
        <v>26</v>
      </c>
      <c r="O207" s="10" t="s">
        <v>26</v>
      </c>
      <c r="P207" s="10" t="s">
        <v>26</v>
      </c>
      <c r="Q207" s="11" t="s">
        <v>249</v>
      </c>
      <c r="R207" s="11" t="s">
        <v>249</v>
      </c>
      <c r="S207" s="11" t="s">
        <v>1283</v>
      </c>
      <c r="T207" s="77"/>
    </row>
    <row r="208" spans="1:22" ht="57.5" x14ac:dyDescent="0.35">
      <c r="A208" s="56"/>
      <c r="B208" s="59" t="s">
        <v>83</v>
      </c>
      <c r="C208" s="20" t="s">
        <v>3</v>
      </c>
      <c r="D208" s="30" t="s">
        <v>820</v>
      </c>
      <c r="E208" s="28" t="s">
        <v>130</v>
      </c>
      <c r="F208" s="23" t="s">
        <v>2022</v>
      </c>
      <c r="G208" s="145" t="str">
        <f>"Decision 
If yes, proceed to step "&amp;D207&amp;" 
If no, proceed to "&amp;D200&amp;""</f>
        <v>Decision 
If yes, proceed to step 3.4.2.4 
If no, proceed to 3.4.1.1</v>
      </c>
      <c r="H208" s="50" t="s">
        <v>267</v>
      </c>
      <c r="I208" s="23"/>
      <c r="J208" s="23"/>
      <c r="K208" s="23"/>
      <c r="L208" s="23"/>
      <c r="M208" s="10" t="s">
        <v>26</v>
      </c>
      <c r="N208" s="10" t="s">
        <v>26</v>
      </c>
      <c r="O208" s="10" t="s">
        <v>26</v>
      </c>
      <c r="P208" s="10" t="s">
        <v>26</v>
      </c>
      <c r="Q208" s="11" t="s">
        <v>249</v>
      </c>
      <c r="R208" s="11" t="s">
        <v>249</v>
      </c>
      <c r="S208" s="11" t="s">
        <v>1283</v>
      </c>
      <c r="T208" s="77"/>
    </row>
    <row r="209" spans="1:29" ht="34.5" x14ac:dyDescent="0.35">
      <c r="A209" s="56"/>
      <c r="B209" s="59" t="s">
        <v>83</v>
      </c>
      <c r="C209" s="16" t="s">
        <v>2</v>
      </c>
      <c r="D209" s="17" t="s">
        <v>137</v>
      </c>
      <c r="E209" s="18" t="s">
        <v>138</v>
      </c>
      <c r="F209" s="19" t="s">
        <v>2023</v>
      </c>
      <c r="G209" s="19" t="s">
        <v>5</v>
      </c>
      <c r="H209" s="49" t="s">
        <v>267</v>
      </c>
      <c r="I209" s="19"/>
      <c r="J209" s="19"/>
      <c r="K209" s="19"/>
      <c r="L209" s="19"/>
      <c r="M209" s="10" t="s">
        <v>26</v>
      </c>
      <c r="N209" s="10" t="s">
        <v>26</v>
      </c>
      <c r="O209" s="10" t="s">
        <v>26</v>
      </c>
      <c r="P209" s="10" t="s">
        <v>26</v>
      </c>
      <c r="Q209" s="11" t="s">
        <v>249</v>
      </c>
      <c r="R209" s="11" t="s">
        <v>249</v>
      </c>
      <c r="S209" s="11" t="s">
        <v>1283</v>
      </c>
      <c r="T209" s="77"/>
    </row>
    <row r="210" spans="1:29" ht="58" x14ac:dyDescent="0.35">
      <c r="A210" s="56"/>
      <c r="B210" s="59" t="s">
        <v>2025</v>
      </c>
      <c r="C210" s="16" t="s">
        <v>2</v>
      </c>
      <c r="D210" s="17" t="s">
        <v>139</v>
      </c>
      <c r="E210" s="18" t="s">
        <v>140</v>
      </c>
      <c r="F210" s="19" t="s">
        <v>2033</v>
      </c>
      <c r="G210" s="19" t="s">
        <v>5</v>
      </c>
      <c r="H210" s="49" t="s">
        <v>264</v>
      </c>
      <c r="I210" s="19" t="s">
        <v>1103</v>
      </c>
      <c r="J210" s="19" t="s">
        <v>545</v>
      </c>
      <c r="K210" s="19" t="s">
        <v>546</v>
      </c>
      <c r="L210" s="19" t="s">
        <v>547</v>
      </c>
      <c r="M210" s="10" t="s">
        <v>26</v>
      </c>
      <c r="N210" s="10" t="s">
        <v>26</v>
      </c>
      <c r="O210" s="10" t="s">
        <v>26</v>
      </c>
      <c r="P210" s="10" t="s">
        <v>26</v>
      </c>
      <c r="Q210" s="11" t="s">
        <v>2024</v>
      </c>
      <c r="R210" s="11" t="s">
        <v>249</v>
      </c>
      <c r="S210" s="11"/>
      <c r="T210" s="77"/>
      <c r="V210" s="89" t="s">
        <v>1091</v>
      </c>
    </row>
    <row r="211" spans="1:29" ht="57.5" x14ac:dyDescent="0.35">
      <c r="A211" s="56"/>
      <c r="B211" s="59" t="s">
        <v>83</v>
      </c>
      <c r="C211" s="20" t="s">
        <v>3</v>
      </c>
      <c r="D211" s="21" t="s">
        <v>823</v>
      </c>
      <c r="E211" s="22" t="s">
        <v>822</v>
      </c>
      <c r="F211" s="23" t="s">
        <v>2026</v>
      </c>
      <c r="G211" s="105" t="str">
        <f>"Decision 
If yes, proceed to step "&amp;D212&amp;" 
If no, proceed to "&amp;D200&amp;""</f>
        <v>Decision 
If yes, proceed to step 3.4.4.2 
If no, proceed to 3.4.1.1</v>
      </c>
      <c r="H211" s="50" t="s">
        <v>264</v>
      </c>
      <c r="I211" s="23"/>
      <c r="J211" s="23"/>
      <c r="K211" s="23"/>
      <c r="L211" s="23"/>
      <c r="M211" s="10" t="s">
        <v>26</v>
      </c>
      <c r="N211" s="10" t="s">
        <v>26</v>
      </c>
      <c r="O211" s="10" t="s">
        <v>26</v>
      </c>
      <c r="P211" s="10" t="s">
        <v>26</v>
      </c>
      <c r="Q211" s="11" t="s">
        <v>2024</v>
      </c>
      <c r="R211" s="11" t="s">
        <v>249</v>
      </c>
      <c r="S211" s="11"/>
      <c r="T211" s="77"/>
    </row>
    <row r="212" spans="1:29" ht="34.5" x14ac:dyDescent="0.35">
      <c r="A212" s="56"/>
      <c r="B212" s="59" t="s">
        <v>2025</v>
      </c>
      <c r="C212" s="20" t="s">
        <v>3</v>
      </c>
      <c r="D212" s="21" t="s">
        <v>824</v>
      </c>
      <c r="E212" s="22" t="s">
        <v>826</v>
      </c>
      <c r="F212" s="23" t="s">
        <v>2027</v>
      </c>
      <c r="G212" s="23" t="s">
        <v>5</v>
      </c>
      <c r="H212" s="50" t="s">
        <v>264</v>
      </c>
      <c r="I212" s="23"/>
      <c r="J212" s="23"/>
      <c r="K212" s="23"/>
      <c r="L212" s="23"/>
      <c r="M212" s="10" t="s">
        <v>26</v>
      </c>
      <c r="N212" s="10" t="s">
        <v>26</v>
      </c>
      <c r="O212" s="10" t="s">
        <v>26</v>
      </c>
      <c r="P212" s="10" t="s">
        <v>26</v>
      </c>
      <c r="Q212" s="11" t="s">
        <v>2024</v>
      </c>
      <c r="R212" s="11" t="s">
        <v>249</v>
      </c>
      <c r="S212" s="11"/>
      <c r="T212" s="77"/>
    </row>
    <row r="213" spans="1:29" ht="46" x14ac:dyDescent="0.35">
      <c r="A213" s="56"/>
      <c r="B213" s="59" t="s">
        <v>1704</v>
      </c>
      <c r="C213" s="20" t="s">
        <v>3</v>
      </c>
      <c r="D213" s="21" t="s">
        <v>825</v>
      </c>
      <c r="E213" s="22" t="s">
        <v>2028</v>
      </c>
      <c r="F213" s="23" t="s">
        <v>2029</v>
      </c>
      <c r="G213" s="23" t="s">
        <v>5</v>
      </c>
      <c r="H213" s="50" t="s">
        <v>264</v>
      </c>
      <c r="I213" s="23"/>
      <c r="J213" s="23"/>
      <c r="K213" s="23"/>
      <c r="L213" s="23"/>
      <c r="M213" s="10" t="s">
        <v>26</v>
      </c>
      <c r="N213" s="10" t="s">
        <v>26</v>
      </c>
      <c r="O213" s="10" t="s">
        <v>26</v>
      </c>
      <c r="P213" s="10" t="s">
        <v>26</v>
      </c>
      <c r="Q213" s="11" t="s">
        <v>2024</v>
      </c>
      <c r="R213" s="11" t="s">
        <v>249</v>
      </c>
      <c r="S213" s="11"/>
      <c r="T213" s="77"/>
    </row>
    <row r="214" spans="1:29" ht="115" x14ac:dyDescent="0.35">
      <c r="A214" s="56"/>
      <c r="B214" s="59" t="s">
        <v>1718</v>
      </c>
      <c r="C214" s="37" t="s">
        <v>0</v>
      </c>
      <c r="D214" s="38" t="s">
        <v>141</v>
      </c>
      <c r="E214" s="39" t="s">
        <v>142</v>
      </c>
      <c r="F214" s="40" t="s">
        <v>2035</v>
      </c>
      <c r="G214" s="40" t="s">
        <v>5</v>
      </c>
      <c r="H214" s="47" t="s">
        <v>265</v>
      </c>
      <c r="I214" s="9" t="s">
        <v>549</v>
      </c>
      <c r="J214" s="9" t="s">
        <v>548</v>
      </c>
      <c r="K214" s="9" t="s">
        <v>550</v>
      </c>
      <c r="L214" s="9" t="s">
        <v>288</v>
      </c>
      <c r="M214" s="32"/>
      <c r="N214" s="32"/>
      <c r="O214" s="32"/>
      <c r="P214" s="32"/>
      <c r="Q214" s="33" t="s">
        <v>69</v>
      </c>
      <c r="R214" s="33" t="s">
        <v>69</v>
      </c>
      <c r="S214" s="33" t="s">
        <v>249</v>
      </c>
      <c r="T214" s="80"/>
    </row>
    <row r="215" spans="1:29" ht="92" x14ac:dyDescent="0.35">
      <c r="A215" s="56"/>
      <c r="B215" s="59" t="s">
        <v>1719</v>
      </c>
      <c r="C215" s="41" t="s">
        <v>1</v>
      </c>
      <c r="D215" s="42" t="s">
        <v>143</v>
      </c>
      <c r="E215" s="27" t="s">
        <v>144</v>
      </c>
      <c r="F215" s="35" t="s">
        <v>145</v>
      </c>
      <c r="G215" s="35" t="s">
        <v>5</v>
      </c>
      <c r="H215" s="48" t="s">
        <v>265</v>
      </c>
      <c r="I215" s="15" t="s">
        <v>552</v>
      </c>
      <c r="J215" s="15" t="s">
        <v>551</v>
      </c>
      <c r="K215" s="15" t="s">
        <v>553</v>
      </c>
      <c r="L215" s="15" t="s">
        <v>554</v>
      </c>
      <c r="M215" s="10" t="s">
        <v>81</v>
      </c>
      <c r="N215" s="10" t="s">
        <v>146</v>
      </c>
      <c r="O215" s="10" t="s">
        <v>81</v>
      </c>
      <c r="P215" s="10" t="s">
        <v>69</v>
      </c>
      <c r="Q215" s="33" t="s">
        <v>69</v>
      </c>
      <c r="R215" s="33" t="s">
        <v>69</v>
      </c>
      <c r="S215" s="33"/>
      <c r="T215" s="81"/>
    </row>
    <row r="216" spans="1:29" ht="34.5" x14ac:dyDescent="0.35">
      <c r="A216" s="56"/>
      <c r="B216" s="59" t="s">
        <v>1719</v>
      </c>
      <c r="C216" s="43" t="s">
        <v>2</v>
      </c>
      <c r="D216" s="24" t="s">
        <v>147</v>
      </c>
      <c r="E216" s="25" t="s">
        <v>148</v>
      </c>
      <c r="F216" s="26" t="s">
        <v>149</v>
      </c>
      <c r="G216" s="26" t="s">
        <v>5</v>
      </c>
      <c r="H216" s="49" t="s">
        <v>264</v>
      </c>
      <c r="I216" s="19"/>
      <c r="J216" s="19"/>
      <c r="K216" s="19"/>
      <c r="L216" s="19"/>
      <c r="M216" s="10" t="s">
        <v>81</v>
      </c>
      <c r="N216" s="10" t="s">
        <v>146</v>
      </c>
      <c r="O216" s="10" t="s">
        <v>81</v>
      </c>
      <c r="P216" s="10" t="s">
        <v>69</v>
      </c>
      <c r="Q216" s="151" t="s">
        <v>1717</v>
      </c>
      <c r="R216" s="33" t="s">
        <v>69</v>
      </c>
      <c r="S216" s="33"/>
      <c r="T216" s="81"/>
    </row>
    <row r="217" spans="1:29" ht="46" x14ac:dyDescent="0.35">
      <c r="A217" s="56"/>
      <c r="B217" s="59" t="s">
        <v>1718</v>
      </c>
      <c r="C217" s="20" t="s">
        <v>3</v>
      </c>
      <c r="D217" s="21" t="s">
        <v>919</v>
      </c>
      <c r="E217" s="22" t="s">
        <v>921</v>
      </c>
      <c r="F217" s="23" t="s">
        <v>1321</v>
      </c>
      <c r="G217" s="23" t="s">
        <v>5</v>
      </c>
      <c r="H217" s="50" t="s">
        <v>264</v>
      </c>
      <c r="I217" s="23" t="s">
        <v>923</v>
      </c>
      <c r="J217" s="23" t="s">
        <v>924</v>
      </c>
      <c r="K217" s="23" t="s">
        <v>925</v>
      </c>
      <c r="L217" s="23" t="s">
        <v>926</v>
      </c>
      <c r="M217" s="10" t="s">
        <v>81</v>
      </c>
      <c r="N217" s="10" t="s">
        <v>146</v>
      </c>
      <c r="O217" s="10" t="s">
        <v>81</v>
      </c>
      <c r="P217" s="10" t="s">
        <v>69</v>
      </c>
      <c r="Q217" s="11" t="s">
        <v>1717</v>
      </c>
      <c r="R217" s="33" t="s">
        <v>69</v>
      </c>
      <c r="S217" s="11"/>
      <c r="T217" s="77"/>
      <c r="AC217" s="117" t="s">
        <v>1322</v>
      </c>
    </row>
    <row r="218" spans="1:29" ht="46" x14ac:dyDescent="0.35">
      <c r="A218" s="56"/>
      <c r="B218" s="59" t="s">
        <v>1719</v>
      </c>
      <c r="C218" s="20" t="s">
        <v>3</v>
      </c>
      <c r="D218" s="21" t="s">
        <v>920</v>
      </c>
      <c r="E218" s="22" t="s">
        <v>990</v>
      </c>
      <c r="F218" s="23" t="s">
        <v>1603</v>
      </c>
      <c r="G218" s="23" t="s">
        <v>5</v>
      </c>
      <c r="H218" s="50" t="s">
        <v>264</v>
      </c>
      <c r="I218" s="23"/>
      <c r="J218" s="23"/>
      <c r="K218" s="23"/>
      <c r="L218" s="23"/>
      <c r="M218" s="10" t="s">
        <v>81</v>
      </c>
      <c r="N218" s="10" t="s">
        <v>146</v>
      </c>
      <c r="O218" s="10" t="s">
        <v>81</v>
      </c>
      <c r="P218" s="10" t="s">
        <v>69</v>
      </c>
      <c r="Q218" s="11" t="s">
        <v>1717</v>
      </c>
      <c r="R218" s="33" t="s">
        <v>69</v>
      </c>
      <c r="S218" s="11"/>
      <c r="T218" s="77"/>
      <c r="W218" s="53" t="s">
        <v>1256</v>
      </c>
    </row>
    <row r="219" spans="1:29" ht="172.5" x14ac:dyDescent="0.35">
      <c r="A219" s="56"/>
      <c r="B219" s="59" t="s">
        <v>1719</v>
      </c>
      <c r="C219" s="20" t="s">
        <v>3</v>
      </c>
      <c r="D219" s="21" t="s">
        <v>984</v>
      </c>
      <c r="E219" s="22" t="s">
        <v>922</v>
      </c>
      <c r="F219" s="23" t="s">
        <v>1557</v>
      </c>
      <c r="G219" s="23" t="s">
        <v>5</v>
      </c>
      <c r="H219" s="50" t="s">
        <v>264</v>
      </c>
      <c r="I219" s="23" t="s">
        <v>987</v>
      </c>
      <c r="J219" s="23" t="s">
        <v>927</v>
      </c>
      <c r="K219" s="23" t="s">
        <v>928</v>
      </c>
      <c r="L219" s="23" t="s">
        <v>929</v>
      </c>
      <c r="M219" s="10" t="s">
        <v>81</v>
      </c>
      <c r="N219" s="10" t="s">
        <v>146</v>
      </c>
      <c r="O219" s="10" t="s">
        <v>81</v>
      </c>
      <c r="P219" s="10" t="s">
        <v>69</v>
      </c>
      <c r="Q219" s="11" t="s">
        <v>1717</v>
      </c>
      <c r="R219" s="33" t="s">
        <v>69</v>
      </c>
      <c r="S219" s="11"/>
      <c r="T219" s="77"/>
      <c r="W219" s="106" t="s">
        <v>1257</v>
      </c>
    </row>
    <row r="220" spans="1:29" ht="29" x14ac:dyDescent="0.35">
      <c r="A220" s="56"/>
      <c r="B220" s="59" t="s">
        <v>1719</v>
      </c>
      <c r="C220" s="20" t="s">
        <v>3</v>
      </c>
      <c r="D220" s="21" t="s">
        <v>989</v>
      </c>
      <c r="E220" s="22" t="s">
        <v>985</v>
      </c>
      <c r="F220" s="23" t="s">
        <v>986</v>
      </c>
      <c r="G220" s="23" t="s">
        <v>5</v>
      </c>
      <c r="H220" s="50" t="s">
        <v>264</v>
      </c>
      <c r="I220" s="23" t="s">
        <v>988</v>
      </c>
      <c r="J220" s="23"/>
      <c r="K220" s="23"/>
      <c r="L220" s="23"/>
      <c r="M220" s="10" t="s">
        <v>81</v>
      </c>
      <c r="N220" s="10" t="s">
        <v>146</v>
      </c>
      <c r="O220" s="10" t="s">
        <v>81</v>
      </c>
      <c r="P220" s="10" t="s">
        <v>69</v>
      </c>
      <c r="Q220" s="11" t="s">
        <v>1717</v>
      </c>
      <c r="R220" s="33" t="s">
        <v>69</v>
      </c>
      <c r="S220" s="11"/>
      <c r="T220" s="77"/>
      <c r="W220" s="53" t="s">
        <v>1258</v>
      </c>
    </row>
    <row r="221" spans="1:29" ht="217.5" x14ac:dyDescent="0.35">
      <c r="A221" s="56"/>
      <c r="B221" s="59" t="s">
        <v>1720</v>
      </c>
      <c r="C221" s="43" t="s">
        <v>2</v>
      </c>
      <c r="D221" s="24" t="s">
        <v>150</v>
      </c>
      <c r="E221" s="18" t="s">
        <v>151</v>
      </c>
      <c r="F221" s="19" t="s">
        <v>152</v>
      </c>
      <c r="G221" s="26" t="s">
        <v>5</v>
      </c>
      <c r="H221" s="49" t="s">
        <v>264</v>
      </c>
      <c r="I221" s="19" t="s">
        <v>556</v>
      </c>
      <c r="J221" s="19" t="s">
        <v>555</v>
      </c>
      <c r="K221" s="19" t="s">
        <v>557</v>
      </c>
      <c r="L221" s="19" t="s">
        <v>558</v>
      </c>
      <c r="M221" s="10" t="s">
        <v>81</v>
      </c>
      <c r="N221" s="10" t="s">
        <v>146</v>
      </c>
      <c r="O221" s="10" t="s">
        <v>81</v>
      </c>
      <c r="P221" s="10" t="s">
        <v>69</v>
      </c>
      <c r="Q221" s="11" t="s">
        <v>1717</v>
      </c>
      <c r="R221" s="33" t="s">
        <v>69</v>
      </c>
      <c r="S221" s="33"/>
      <c r="T221" s="81"/>
      <c r="W221" s="107" t="s">
        <v>1259</v>
      </c>
    </row>
    <row r="222" spans="1:29" ht="29" x14ac:dyDescent="0.35">
      <c r="A222" s="56"/>
      <c r="B222" s="59" t="s">
        <v>83</v>
      </c>
      <c r="C222" s="20" t="s">
        <v>3</v>
      </c>
      <c r="D222" s="21" t="s">
        <v>963</v>
      </c>
      <c r="E222" s="22" t="s">
        <v>985</v>
      </c>
      <c r="F222" s="23" t="s">
        <v>1409</v>
      </c>
      <c r="G222" s="23" t="s">
        <v>5</v>
      </c>
      <c r="H222" s="50" t="s">
        <v>264</v>
      </c>
      <c r="I222" s="23" t="s">
        <v>988</v>
      </c>
      <c r="J222" s="23"/>
      <c r="K222" s="23"/>
      <c r="L222" s="23"/>
      <c r="M222" s="10" t="s">
        <v>81</v>
      </c>
      <c r="N222" s="10" t="s">
        <v>146</v>
      </c>
      <c r="O222" s="10" t="s">
        <v>81</v>
      </c>
      <c r="P222" s="10" t="s">
        <v>69</v>
      </c>
      <c r="Q222" s="11" t="s">
        <v>1717</v>
      </c>
      <c r="R222" s="33" t="s">
        <v>69</v>
      </c>
      <c r="S222" s="11"/>
      <c r="T222" s="77"/>
      <c r="W222" s="53" t="s">
        <v>1258</v>
      </c>
    </row>
    <row r="223" spans="1:29" ht="46" x14ac:dyDescent="0.35">
      <c r="A223" s="56"/>
      <c r="B223" s="59" t="s">
        <v>83</v>
      </c>
      <c r="C223" s="20" t="s">
        <v>3</v>
      </c>
      <c r="D223" s="21" t="s">
        <v>964</v>
      </c>
      <c r="E223" s="22" t="s">
        <v>966</v>
      </c>
      <c r="F223" s="23" t="s">
        <v>1398</v>
      </c>
      <c r="G223" s="23" t="s">
        <v>5</v>
      </c>
      <c r="H223" s="50" t="s">
        <v>264</v>
      </c>
      <c r="I223" s="23" t="s">
        <v>967</v>
      </c>
      <c r="J223" s="23" t="s">
        <v>968</v>
      </c>
      <c r="K223" s="23" t="s">
        <v>969</v>
      </c>
      <c r="L223" s="23" t="s">
        <v>970</v>
      </c>
      <c r="M223" s="10" t="s">
        <v>81</v>
      </c>
      <c r="N223" s="10" t="s">
        <v>146</v>
      </c>
      <c r="O223" s="10" t="s">
        <v>81</v>
      </c>
      <c r="P223" s="10" t="s">
        <v>69</v>
      </c>
      <c r="Q223" s="11" t="s">
        <v>1717</v>
      </c>
      <c r="R223" s="11" t="s">
        <v>69</v>
      </c>
      <c r="S223" s="11" t="s">
        <v>249</v>
      </c>
      <c r="T223" s="77"/>
      <c r="W223" s="118" t="s">
        <v>1260</v>
      </c>
    </row>
    <row r="224" spans="1:29" ht="184" x14ac:dyDescent="0.35">
      <c r="A224" s="56"/>
      <c r="B224" s="59" t="s">
        <v>83</v>
      </c>
      <c r="C224" s="20" t="s">
        <v>3</v>
      </c>
      <c r="D224" s="21" t="s">
        <v>965</v>
      </c>
      <c r="E224" s="22" t="s">
        <v>1508</v>
      </c>
      <c r="F224" s="119" t="str">
        <f>_xlfn._LONGTEXT("For Fixed Fee / Milestone projects, confirm all timecards for the period are submitted. Automatically reconcile billable hours (timecard-driven) against working budget (at project setup) to derive percentage of completion (PoC). Calculate PoC at the paren","t project level wherever operationally feasible rather than at sub-project level. GFS to share PoCs with PMs for review.
Milestone - by exception only: Where PoC is not applicable, validate milestone completion and client acceptance status for revenue re","cognition processing. Proceed to to ")&amp;D226&amp;"
Known exception: Evoke recognising based on milestone completion"</f>
        <v>For Fixed Fee / Milestone projects, confirm all timecards for the period are submitted. Automatically reconcile billable hours (timecard-driven) against working budget (at project setup) to derive percentage of completion (PoC). Calculate PoC at the parent project level wherever operationally feasible rather than at sub-project level. GFS to share PoCs with PMs for review.
Milestone - by exception only: Where PoC is not applicable, validate milestone completion and client acceptance status for revenue recognition processing. Proceed to to 4.1.2.5
Known exception: Evoke recognising based on milestone completion</v>
      </c>
      <c r="G224" s="23" t="s">
        <v>5</v>
      </c>
      <c r="H224" s="50" t="s">
        <v>265</v>
      </c>
      <c r="I224" s="23" t="s">
        <v>971</v>
      </c>
      <c r="J224" s="23" t="s">
        <v>1404</v>
      </c>
      <c r="K224" s="23" t="s">
        <v>972</v>
      </c>
      <c r="L224" s="23" t="s">
        <v>973</v>
      </c>
      <c r="M224" s="10" t="s">
        <v>81</v>
      </c>
      <c r="N224" s="10" t="s">
        <v>146</v>
      </c>
      <c r="O224" s="10" t="s">
        <v>81</v>
      </c>
      <c r="P224" s="10" t="s">
        <v>69</v>
      </c>
      <c r="Q224" s="11" t="s">
        <v>69</v>
      </c>
      <c r="R224" s="11" t="s">
        <v>69</v>
      </c>
      <c r="S224" s="11" t="s">
        <v>249</v>
      </c>
      <c r="T224" s="77"/>
    </row>
    <row r="225" spans="1:23" ht="80.5" x14ac:dyDescent="0.35">
      <c r="A225" s="56"/>
      <c r="B225" s="59" t="s">
        <v>83</v>
      </c>
      <c r="C225" s="20" t="s">
        <v>3</v>
      </c>
      <c r="D225" s="21" t="s">
        <v>1324</v>
      </c>
      <c r="E225" s="22" t="s">
        <v>1323</v>
      </c>
      <c r="F225" s="23" t="str">
        <f>"Review system-generated PoC. If current understanding of PoC does not agree with calculation, update working budget within PSA to inform revised PoC calculation
Milestone - by exception only: Where PoC is not applicable, skip this step and proceed to "&amp;D226&amp;""</f>
        <v>Review system-generated PoC. If current understanding of PoC does not agree with calculation, update working budget within PSA to inform revised PoC calculation
Milestone - by exception only: Where PoC is not applicable, skip this step and proceed to 4.1.2.5</v>
      </c>
      <c r="G225" s="23" t="s">
        <v>5</v>
      </c>
      <c r="H225" s="50" t="s">
        <v>267</v>
      </c>
      <c r="I225" s="23"/>
      <c r="J225" s="23"/>
      <c r="K225" s="23"/>
      <c r="L225" s="23"/>
      <c r="M225" s="10"/>
      <c r="N225" s="10"/>
      <c r="O225" s="10"/>
      <c r="P225" s="10"/>
      <c r="Q225" s="11" t="s">
        <v>249</v>
      </c>
      <c r="R225" s="11" t="s">
        <v>249</v>
      </c>
      <c r="S225" s="11"/>
      <c r="T225" s="77"/>
    </row>
    <row r="226" spans="1:23" ht="46" x14ac:dyDescent="0.35">
      <c r="A226" s="56"/>
      <c r="B226" s="59" t="s">
        <v>1721</v>
      </c>
      <c r="C226" s="20" t="s">
        <v>3</v>
      </c>
      <c r="D226" s="21" t="s">
        <v>1399</v>
      </c>
      <c r="E226" s="22" t="s">
        <v>1400</v>
      </c>
      <c r="F226" s="23" t="s">
        <v>1502</v>
      </c>
      <c r="G226" s="23" t="s">
        <v>5</v>
      </c>
      <c r="H226" s="50" t="s">
        <v>267</v>
      </c>
      <c r="I226" s="23"/>
      <c r="J226" s="23"/>
      <c r="K226" s="23"/>
      <c r="L226" s="23"/>
      <c r="M226" s="10"/>
      <c r="N226" s="10"/>
      <c r="O226" s="10"/>
      <c r="P226" s="10"/>
      <c r="Q226" s="11" t="s">
        <v>69</v>
      </c>
      <c r="R226" s="11" t="s">
        <v>69</v>
      </c>
      <c r="S226" s="11" t="s">
        <v>1283</v>
      </c>
      <c r="T226" s="77"/>
    </row>
    <row r="227" spans="1:23" ht="57.5" x14ac:dyDescent="0.35">
      <c r="A227" s="56"/>
      <c r="B227" s="59" t="s">
        <v>1719</v>
      </c>
      <c r="C227" s="20" t="s">
        <v>3</v>
      </c>
      <c r="D227" s="21" t="s">
        <v>1401</v>
      </c>
      <c r="E227" s="22" t="s">
        <v>1505</v>
      </c>
      <c r="F227" s="54" t="s">
        <v>1504</v>
      </c>
      <c r="G227" s="23" t="s">
        <v>5</v>
      </c>
      <c r="H227" s="50" t="s">
        <v>264</v>
      </c>
      <c r="I227" s="23" t="s">
        <v>974</v>
      </c>
      <c r="J227" s="23" t="s">
        <v>975</v>
      </c>
      <c r="K227" s="23" t="s">
        <v>976</v>
      </c>
      <c r="L227" s="23" t="s">
        <v>977</v>
      </c>
      <c r="M227" s="10" t="s">
        <v>81</v>
      </c>
      <c r="N227" s="10" t="s">
        <v>146</v>
      </c>
      <c r="O227" s="10" t="s">
        <v>81</v>
      </c>
      <c r="P227" s="10" t="s">
        <v>69</v>
      </c>
      <c r="Q227" s="11" t="s">
        <v>1717</v>
      </c>
      <c r="R227" s="11" t="s">
        <v>69</v>
      </c>
      <c r="S227" s="11" t="s">
        <v>249</v>
      </c>
      <c r="T227" s="77"/>
    </row>
    <row r="228" spans="1:23" ht="46" x14ac:dyDescent="0.35">
      <c r="A228" s="56"/>
      <c r="B228" s="59" t="s">
        <v>83</v>
      </c>
      <c r="C228" s="43" t="s">
        <v>2</v>
      </c>
      <c r="D228" s="24" t="s">
        <v>153</v>
      </c>
      <c r="E228" s="25" t="s">
        <v>154</v>
      </c>
      <c r="F228" s="19" t="s">
        <v>991</v>
      </c>
      <c r="G228" s="111" t="str">
        <f>"Decision 
If yes, proceed to step "&amp;D229&amp;" 
If no, proceed to "&amp;D233&amp;""</f>
        <v>Decision 
If yes, proceed to step 4.1.4 
If no, proceed to 4.1.5</v>
      </c>
      <c r="H228" s="49" t="s">
        <v>265</v>
      </c>
      <c r="I228" s="26"/>
      <c r="J228" s="26"/>
      <c r="K228" s="26"/>
      <c r="L228" s="26"/>
      <c r="M228" s="10" t="s">
        <v>81</v>
      </c>
      <c r="N228" s="10" t="s">
        <v>146</v>
      </c>
      <c r="O228" s="10" t="s">
        <v>81</v>
      </c>
      <c r="P228" s="10" t="s">
        <v>69</v>
      </c>
      <c r="Q228" s="11" t="s">
        <v>1717</v>
      </c>
      <c r="R228" s="33" t="s">
        <v>69</v>
      </c>
      <c r="S228" s="33"/>
      <c r="T228" s="81"/>
      <c r="W228" s="53" t="s">
        <v>1261</v>
      </c>
    </row>
    <row r="229" spans="1:23" x14ac:dyDescent="0.35">
      <c r="A229" s="56"/>
      <c r="B229" s="59" t="s">
        <v>83</v>
      </c>
      <c r="C229" s="43" t="s">
        <v>2</v>
      </c>
      <c r="D229" s="24" t="s">
        <v>155</v>
      </c>
      <c r="E229" s="25" t="s">
        <v>156</v>
      </c>
      <c r="F229" s="26" t="s">
        <v>157</v>
      </c>
      <c r="G229" s="26" t="s">
        <v>5</v>
      </c>
      <c r="H229" s="49" t="s">
        <v>267</v>
      </c>
      <c r="I229" s="26"/>
      <c r="J229" s="26"/>
      <c r="K229" s="26"/>
      <c r="L229" s="26"/>
      <c r="M229" s="10" t="s">
        <v>81</v>
      </c>
      <c r="N229" s="10" t="s">
        <v>146</v>
      </c>
      <c r="O229" s="10" t="s">
        <v>81</v>
      </c>
      <c r="P229" s="10" t="s">
        <v>69</v>
      </c>
      <c r="Q229" s="33" t="s">
        <v>69</v>
      </c>
      <c r="R229" s="33" t="s">
        <v>69</v>
      </c>
      <c r="S229" s="11" t="s">
        <v>249</v>
      </c>
      <c r="T229" s="81"/>
    </row>
    <row r="230" spans="1:23" ht="34.5" x14ac:dyDescent="0.35">
      <c r="A230" s="56"/>
      <c r="B230" s="59" t="s">
        <v>83</v>
      </c>
      <c r="C230" s="20" t="s">
        <v>3</v>
      </c>
      <c r="D230" s="21" t="s">
        <v>978</v>
      </c>
      <c r="E230" s="22" t="s">
        <v>979</v>
      </c>
      <c r="F230" s="23" t="s">
        <v>1402</v>
      </c>
      <c r="G230" s="23" t="s">
        <v>5</v>
      </c>
      <c r="H230" s="50" t="s">
        <v>267</v>
      </c>
      <c r="I230" s="23"/>
      <c r="J230" s="23"/>
      <c r="K230" s="23"/>
      <c r="L230" s="23"/>
      <c r="M230" s="10" t="s">
        <v>81</v>
      </c>
      <c r="N230" s="10" t="s">
        <v>146</v>
      </c>
      <c r="O230" s="10" t="s">
        <v>81</v>
      </c>
      <c r="P230" s="10" t="s">
        <v>69</v>
      </c>
      <c r="Q230" s="11" t="s">
        <v>69</v>
      </c>
      <c r="R230" s="11" t="s">
        <v>69</v>
      </c>
      <c r="S230" s="11" t="s">
        <v>249</v>
      </c>
      <c r="T230" s="77"/>
    </row>
    <row r="231" spans="1:23" ht="34.5" x14ac:dyDescent="0.35">
      <c r="A231" s="56"/>
      <c r="B231" s="59" t="s">
        <v>83</v>
      </c>
      <c r="C231" s="20" t="s">
        <v>3</v>
      </c>
      <c r="D231" s="21" t="s">
        <v>980</v>
      </c>
      <c r="E231" s="22" t="s">
        <v>981</v>
      </c>
      <c r="F231" s="23" t="s">
        <v>1403</v>
      </c>
      <c r="G231" s="23" t="s">
        <v>5</v>
      </c>
      <c r="H231" s="50" t="s">
        <v>267</v>
      </c>
      <c r="I231" s="23"/>
      <c r="J231" s="23"/>
      <c r="K231" s="23"/>
      <c r="L231" s="23"/>
      <c r="M231" s="10" t="s">
        <v>795</v>
      </c>
      <c r="N231" s="10" t="s">
        <v>795</v>
      </c>
      <c r="O231" s="10" t="s">
        <v>795</v>
      </c>
      <c r="P231" s="10" t="s">
        <v>193</v>
      </c>
      <c r="Q231" s="11" t="s">
        <v>1283</v>
      </c>
      <c r="R231" s="11" t="s">
        <v>69</v>
      </c>
      <c r="S231" s="11" t="s">
        <v>249</v>
      </c>
      <c r="T231" s="77"/>
    </row>
    <row r="232" spans="1:23" ht="34.5" x14ac:dyDescent="0.35">
      <c r="A232" s="56"/>
      <c r="B232" s="59" t="s">
        <v>83</v>
      </c>
      <c r="C232" s="20" t="s">
        <v>3</v>
      </c>
      <c r="D232" s="21" t="s">
        <v>982</v>
      </c>
      <c r="E232" s="22" t="s">
        <v>983</v>
      </c>
      <c r="F232" s="23" t="s">
        <v>992</v>
      </c>
      <c r="G232" s="23" t="s">
        <v>5</v>
      </c>
      <c r="H232" s="50" t="s">
        <v>267</v>
      </c>
      <c r="I232" s="23"/>
      <c r="J232" s="23"/>
      <c r="K232" s="23"/>
      <c r="L232" s="23"/>
      <c r="M232" s="10" t="s">
        <v>81</v>
      </c>
      <c r="N232" s="10" t="s">
        <v>81</v>
      </c>
      <c r="O232" s="10" t="s">
        <v>81</v>
      </c>
      <c r="P232" s="10" t="s">
        <v>69</v>
      </c>
      <c r="Q232" s="11" t="s">
        <v>69</v>
      </c>
      <c r="R232" s="11" t="s">
        <v>69</v>
      </c>
      <c r="S232" s="11" t="s">
        <v>249</v>
      </c>
      <c r="T232" s="77"/>
      <c r="W232" s="53" t="s">
        <v>1262</v>
      </c>
    </row>
    <row r="233" spans="1:23" ht="80.5" x14ac:dyDescent="0.35">
      <c r="A233" s="56"/>
      <c r="B233" s="59" t="s">
        <v>83</v>
      </c>
      <c r="C233" s="43" t="s">
        <v>2</v>
      </c>
      <c r="D233" s="24" t="s">
        <v>158</v>
      </c>
      <c r="E233" s="25" t="s">
        <v>159</v>
      </c>
      <c r="F233" s="19" t="s">
        <v>1406</v>
      </c>
      <c r="G233" s="26" t="s">
        <v>5</v>
      </c>
      <c r="H233" s="49" t="s">
        <v>265</v>
      </c>
      <c r="I233" s="19" t="s">
        <v>560</v>
      </c>
      <c r="J233" s="19" t="s">
        <v>559</v>
      </c>
      <c r="K233" s="19" t="s">
        <v>561</v>
      </c>
      <c r="L233" s="19" t="s">
        <v>562</v>
      </c>
      <c r="M233" s="10" t="s">
        <v>81</v>
      </c>
      <c r="N233" s="10" t="s">
        <v>146</v>
      </c>
      <c r="O233" s="10" t="s">
        <v>81</v>
      </c>
      <c r="P233" s="10" t="s">
        <v>69</v>
      </c>
      <c r="Q233" s="33" t="s">
        <v>69</v>
      </c>
      <c r="R233" s="33" t="s">
        <v>69</v>
      </c>
      <c r="S233" s="33"/>
      <c r="T233" s="81"/>
    </row>
    <row r="234" spans="1:23" ht="29" x14ac:dyDescent="0.35">
      <c r="A234" s="56"/>
      <c r="B234" s="59" t="s">
        <v>83</v>
      </c>
      <c r="C234" s="20" t="s">
        <v>3</v>
      </c>
      <c r="D234" s="21" t="s">
        <v>993</v>
      </c>
      <c r="E234" s="22" t="s">
        <v>985</v>
      </c>
      <c r="F234" s="23" t="s">
        <v>1410</v>
      </c>
      <c r="G234" s="23" t="s">
        <v>5</v>
      </c>
      <c r="H234" s="50" t="s">
        <v>267</v>
      </c>
      <c r="I234" s="23" t="s">
        <v>988</v>
      </c>
      <c r="J234" s="23"/>
      <c r="K234" s="23"/>
      <c r="L234" s="23"/>
      <c r="M234" s="10" t="s">
        <v>81</v>
      </c>
      <c r="N234" s="10" t="s">
        <v>146</v>
      </c>
      <c r="O234" s="10" t="s">
        <v>81</v>
      </c>
      <c r="P234" s="10" t="s">
        <v>69</v>
      </c>
      <c r="Q234" s="33" t="s">
        <v>69</v>
      </c>
      <c r="R234" s="33" t="s">
        <v>69</v>
      </c>
      <c r="S234" s="11"/>
      <c r="T234" s="77"/>
      <c r="W234" s="53" t="s">
        <v>1258</v>
      </c>
    </row>
    <row r="235" spans="1:23" ht="46" x14ac:dyDescent="0.35">
      <c r="A235" s="56"/>
      <c r="B235" s="59" t="s">
        <v>83</v>
      </c>
      <c r="C235" s="20" t="s">
        <v>3</v>
      </c>
      <c r="D235" s="21" t="s">
        <v>994</v>
      </c>
      <c r="E235" s="22" t="s">
        <v>1407</v>
      </c>
      <c r="F235" s="23" t="s">
        <v>1411</v>
      </c>
      <c r="G235" s="23" t="s">
        <v>5</v>
      </c>
      <c r="H235" s="50" t="s">
        <v>265</v>
      </c>
      <c r="I235" s="23" t="s">
        <v>999</v>
      </c>
      <c r="J235" s="23" t="s">
        <v>1000</v>
      </c>
      <c r="K235" s="23" t="s">
        <v>1001</v>
      </c>
      <c r="L235" s="23" t="s">
        <v>1002</v>
      </c>
      <c r="M235" s="10" t="s">
        <v>81</v>
      </c>
      <c r="N235" s="10" t="s">
        <v>146</v>
      </c>
      <c r="O235" s="10" t="s">
        <v>81</v>
      </c>
      <c r="P235" s="10" t="s">
        <v>69</v>
      </c>
      <c r="Q235" s="11" t="s">
        <v>69</v>
      </c>
      <c r="R235" s="11" t="s">
        <v>69</v>
      </c>
      <c r="S235" s="11"/>
      <c r="T235" s="77"/>
    </row>
    <row r="236" spans="1:23" ht="161" x14ac:dyDescent="0.35">
      <c r="A236" s="56"/>
      <c r="B236" s="59" t="s">
        <v>83</v>
      </c>
      <c r="C236" s="20" t="s">
        <v>3</v>
      </c>
      <c r="D236" s="21" t="s">
        <v>995</v>
      </c>
      <c r="E236" s="22" t="s">
        <v>1509</v>
      </c>
      <c r="F236" s="23" t="s">
        <v>1723</v>
      </c>
      <c r="G236" s="23" t="s">
        <v>5</v>
      </c>
      <c r="H236" s="50" t="s">
        <v>265</v>
      </c>
      <c r="I236" s="23" t="s">
        <v>1003</v>
      </c>
      <c r="J236" s="23" t="s">
        <v>1004</v>
      </c>
      <c r="K236" s="23" t="s">
        <v>1005</v>
      </c>
      <c r="L236" s="23" t="s">
        <v>1006</v>
      </c>
      <c r="M236" s="10" t="s">
        <v>81</v>
      </c>
      <c r="N236" s="10" t="s">
        <v>146</v>
      </c>
      <c r="O236" s="10" t="s">
        <v>81</v>
      </c>
      <c r="P236" s="10" t="s">
        <v>69</v>
      </c>
      <c r="Q236" s="11" t="s">
        <v>69</v>
      </c>
      <c r="R236" s="11" t="s">
        <v>69</v>
      </c>
      <c r="S236" s="11" t="s">
        <v>249</v>
      </c>
      <c r="T236" s="77"/>
    </row>
    <row r="237" spans="1:23" ht="69" x14ac:dyDescent="0.35">
      <c r="A237" s="56"/>
      <c r="B237" s="59" t="s">
        <v>1342</v>
      </c>
      <c r="C237" s="20" t="s">
        <v>3</v>
      </c>
      <c r="D237" s="21" t="s">
        <v>996</v>
      </c>
      <c r="E237" s="22" t="s">
        <v>1408</v>
      </c>
      <c r="F237" s="23" t="s">
        <v>1503</v>
      </c>
      <c r="G237" s="23" t="s">
        <v>5</v>
      </c>
      <c r="H237" s="50" t="s">
        <v>267</v>
      </c>
      <c r="I237" s="23"/>
      <c r="J237" s="23"/>
      <c r="K237" s="23"/>
      <c r="L237" s="23"/>
      <c r="M237" s="10"/>
      <c r="N237" s="10"/>
      <c r="O237" s="10"/>
      <c r="P237" s="10"/>
      <c r="Q237" s="11" t="s">
        <v>69</v>
      </c>
      <c r="R237" s="11" t="s">
        <v>69</v>
      </c>
      <c r="S237" s="11"/>
      <c r="T237" s="77"/>
    </row>
    <row r="238" spans="1:23" ht="46" x14ac:dyDescent="0.35">
      <c r="A238" s="56"/>
      <c r="B238" s="59" t="s">
        <v>83</v>
      </c>
      <c r="C238" s="20" t="s">
        <v>3</v>
      </c>
      <c r="D238" s="21" t="s">
        <v>997</v>
      </c>
      <c r="E238" s="22" t="s">
        <v>1506</v>
      </c>
      <c r="F238" s="23" t="s">
        <v>1507</v>
      </c>
      <c r="G238" s="23" t="s">
        <v>5</v>
      </c>
      <c r="H238" s="50" t="s">
        <v>265</v>
      </c>
      <c r="I238" s="23"/>
      <c r="J238" s="23" t="s">
        <v>1265</v>
      </c>
      <c r="K238" s="23"/>
      <c r="L238" s="23"/>
      <c r="M238" s="10" t="s">
        <v>81</v>
      </c>
      <c r="N238" s="10" t="s">
        <v>146</v>
      </c>
      <c r="O238" s="10" t="s">
        <v>81</v>
      </c>
      <c r="P238" s="10" t="s">
        <v>69</v>
      </c>
      <c r="Q238" s="11" t="s">
        <v>69</v>
      </c>
      <c r="R238" s="11" t="s">
        <v>69</v>
      </c>
      <c r="S238" s="11"/>
      <c r="T238" s="77"/>
    </row>
    <row r="239" spans="1:23" ht="46" x14ac:dyDescent="0.35">
      <c r="A239" s="56"/>
      <c r="B239" s="59" t="s">
        <v>83</v>
      </c>
      <c r="C239" s="20" t="s">
        <v>3</v>
      </c>
      <c r="D239" s="21" t="s">
        <v>1266</v>
      </c>
      <c r="E239" s="22" t="s">
        <v>998</v>
      </c>
      <c r="F239" s="23" t="s">
        <v>1722</v>
      </c>
      <c r="G239" s="23" t="s">
        <v>5</v>
      </c>
      <c r="H239" s="50" t="s">
        <v>265</v>
      </c>
      <c r="I239" s="23" t="s">
        <v>1007</v>
      </c>
      <c r="J239" s="23" t="s">
        <v>1008</v>
      </c>
      <c r="K239" s="23" t="s">
        <v>1009</v>
      </c>
      <c r="L239" s="23" t="s">
        <v>1010</v>
      </c>
      <c r="M239" s="10" t="s">
        <v>81</v>
      </c>
      <c r="N239" s="10" t="s">
        <v>146</v>
      </c>
      <c r="O239" s="10" t="s">
        <v>81</v>
      </c>
      <c r="P239" s="10" t="s">
        <v>69</v>
      </c>
      <c r="Q239" s="11" t="s">
        <v>69</v>
      </c>
      <c r="R239" s="11" t="s">
        <v>69</v>
      </c>
      <c r="S239" s="11" t="s">
        <v>249</v>
      </c>
      <c r="T239" s="77"/>
      <c r="W239" s="53" t="s">
        <v>1263</v>
      </c>
    </row>
    <row r="240" spans="1:23" ht="34.5" x14ac:dyDescent="0.35">
      <c r="A240" s="56"/>
      <c r="B240" s="59" t="s">
        <v>37</v>
      </c>
      <c r="C240" s="43" t="s">
        <v>2</v>
      </c>
      <c r="D240" s="24" t="s">
        <v>160</v>
      </c>
      <c r="E240" s="25" t="s">
        <v>161</v>
      </c>
      <c r="F240" s="19" t="s">
        <v>1412</v>
      </c>
      <c r="G240" s="26" t="s">
        <v>5</v>
      </c>
      <c r="H240" s="49" t="s">
        <v>264</v>
      </c>
      <c r="I240" s="19"/>
      <c r="J240" s="19"/>
      <c r="K240" s="19"/>
      <c r="L240" s="19"/>
      <c r="M240" s="10" t="s">
        <v>81</v>
      </c>
      <c r="N240" s="10" t="s">
        <v>146</v>
      </c>
      <c r="O240" s="10" t="s">
        <v>81</v>
      </c>
      <c r="P240" s="10" t="s">
        <v>69</v>
      </c>
      <c r="Q240" s="11" t="s">
        <v>1717</v>
      </c>
      <c r="R240" s="33" t="s">
        <v>69</v>
      </c>
      <c r="S240" s="33"/>
      <c r="T240" s="81"/>
    </row>
    <row r="241" spans="1:20" ht="34.5" x14ac:dyDescent="0.35">
      <c r="A241" s="56"/>
      <c r="B241" s="59" t="s">
        <v>37</v>
      </c>
      <c r="C241" s="20" t="s">
        <v>3</v>
      </c>
      <c r="D241" s="21" t="s">
        <v>1011</v>
      </c>
      <c r="E241" s="22" t="s">
        <v>1012</v>
      </c>
      <c r="F241" s="23" t="s">
        <v>1413</v>
      </c>
      <c r="G241" s="23" t="s">
        <v>5</v>
      </c>
      <c r="H241" s="50" t="s">
        <v>264</v>
      </c>
      <c r="I241" s="23"/>
      <c r="J241" s="23"/>
      <c r="K241" s="23"/>
      <c r="L241" s="23"/>
      <c r="M241" s="10" t="s">
        <v>81</v>
      </c>
      <c r="N241" s="10" t="s">
        <v>146</v>
      </c>
      <c r="O241" s="10" t="s">
        <v>81</v>
      </c>
      <c r="P241" s="10" t="s">
        <v>69</v>
      </c>
      <c r="Q241" s="11" t="s">
        <v>1717</v>
      </c>
      <c r="R241" s="33" t="s">
        <v>69</v>
      </c>
      <c r="S241" s="11"/>
      <c r="T241" s="77"/>
    </row>
    <row r="242" spans="1:20" ht="34.5" x14ac:dyDescent="0.35">
      <c r="A242" s="56"/>
      <c r="B242" s="59" t="s">
        <v>37</v>
      </c>
      <c r="C242" s="20" t="s">
        <v>3</v>
      </c>
      <c r="D242" s="21" t="s">
        <v>1013</v>
      </c>
      <c r="E242" s="22" t="s">
        <v>1014</v>
      </c>
      <c r="F242" s="23" t="s">
        <v>1414</v>
      </c>
      <c r="G242" s="23" t="s">
        <v>5</v>
      </c>
      <c r="H242" s="50" t="s">
        <v>264</v>
      </c>
      <c r="I242" s="23"/>
      <c r="J242" s="23"/>
      <c r="K242" s="23"/>
      <c r="L242" s="23"/>
      <c r="M242" s="10" t="s">
        <v>81</v>
      </c>
      <c r="N242" s="10" t="s">
        <v>146</v>
      </c>
      <c r="O242" s="10" t="s">
        <v>81</v>
      </c>
      <c r="P242" s="10" t="s">
        <v>69</v>
      </c>
      <c r="Q242" s="11" t="s">
        <v>1717</v>
      </c>
      <c r="R242" s="33" t="s">
        <v>69</v>
      </c>
      <c r="S242" s="11"/>
      <c r="T242" s="77"/>
    </row>
    <row r="243" spans="1:20" ht="34.5" x14ac:dyDescent="0.35">
      <c r="A243" s="56"/>
      <c r="B243" s="59" t="s">
        <v>37</v>
      </c>
      <c r="C243" s="43" t="s">
        <v>2</v>
      </c>
      <c r="D243" s="24" t="s">
        <v>162</v>
      </c>
      <c r="E243" s="18" t="s">
        <v>1023</v>
      </c>
      <c r="F243" s="19" t="s">
        <v>1415</v>
      </c>
      <c r="G243" s="26" t="s">
        <v>5</v>
      </c>
      <c r="H243" s="49" t="s">
        <v>267</v>
      </c>
      <c r="I243" s="19"/>
      <c r="J243" s="19"/>
      <c r="K243" s="19"/>
      <c r="L243" s="19"/>
      <c r="M243" s="10" t="s">
        <v>81</v>
      </c>
      <c r="N243" s="10" t="s">
        <v>146</v>
      </c>
      <c r="O243" s="10" t="s">
        <v>81</v>
      </c>
      <c r="P243" s="10" t="s">
        <v>69</v>
      </c>
      <c r="Q243" s="33" t="s">
        <v>69</v>
      </c>
      <c r="R243" s="33" t="s">
        <v>69</v>
      </c>
      <c r="S243" s="33"/>
      <c r="T243" s="81"/>
    </row>
    <row r="244" spans="1:20" ht="34.5" x14ac:dyDescent="0.35">
      <c r="A244" s="56"/>
      <c r="B244" s="59" t="s">
        <v>37</v>
      </c>
      <c r="C244" s="20" t="s">
        <v>3</v>
      </c>
      <c r="D244" s="21" t="s">
        <v>1015</v>
      </c>
      <c r="E244" s="22" t="s">
        <v>1036</v>
      </c>
      <c r="F244" s="23" t="s">
        <v>1416</v>
      </c>
      <c r="G244" s="23" t="s">
        <v>5</v>
      </c>
      <c r="H244" s="50" t="s">
        <v>267</v>
      </c>
      <c r="I244" s="23"/>
      <c r="J244" s="23"/>
      <c r="K244" s="23"/>
      <c r="L244" s="23"/>
      <c r="M244" s="10" t="s">
        <v>81</v>
      </c>
      <c r="N244" s="10" t="s">
        <v>146</v>
      </c>
      <c r="O244" s="10" t="s">
        <v>81</v>
      </c>
      <c r="P244" s="10" t="s">
        <v>69</v>
      </c>
      <c r="Q244" s="33" t="s">
        <v>69</v>
      </c>
      <c r="R244" s="33" t="s">
        <v>69</v>
      </c>
      <c r="S244" s="11"/>
      <c r="T244" s="77"/>
    </row>
    <row r="245" spans="1:20" ht="57.5" x14ac:dyDescent="0.35">
      <c r="A245" s="56"/>
      <c r="B245" s="59" t="s">
        <v>37</v>
      </c>
      <c r="C245" s="20" t="s">
        <v>3</v>
      </c>
      <c r="D245" s="21" t="s">
        <v>1016</v>
      </c>
      <c r="E245" s="22" t="s">
        <v>1018</v>
      </c>
      <c r="F245" s="23" t="s">
        <v>1017</v>
      </c>
      <c r="G245" s="105" t="str">
        <f>"Decision 
If yes, proceed to step "&amp;D246&amp;" 
If no, proceed to "&amp;D241&amp;""</f>
        <v>Decision 
If yes, proceed to step 4.1.8 
If no, proceed to 4.1.6.1</v>
      </c>
      <c r="H245" s="50" t="s">
        <v>267</v>
      </c>
      <c r="I245" s="23"/>
      <c r="J245" s="23"/>
      <c r="K245" s="23"/>
      <c r="L245" s="23"/>
      <c r="M245" s="10" t="s">
        <v>81</v>
      </c>
      <c r="N245" s="10" t="s">
        <v>146</v>
      </c>
      <c r="O245" s="10" t="s">
        <v>81</v>
      </c>
      <c r="P245" s="10" t="s">
        <v>69</v>
      </c>
      <c r="Q245" s="33" t="s">
        <v>69</v>
      </c>
      <c r="R245" s="33" t="s">
        <v>69</v>
      </c>
      <c r="S245" s="11"/>
      <c r="T245" s="77"/>
    </row>
    <row r="246" spans="1:20" ht="34.5" x14ac:dyDescent="0.35">
      <c r="A246" s="56"/>
      <c r="B246" s="59" t="s">
        <v>37</v>
      </c>
      <c r="C246" s="43" t="s">
        <v>2</v>
      </c>
      <c r="D246" s="24" t="s">
        <v>164</v>
      </c>
      <c r="E246" s="18" t="s">
        <v>1417</v>
      </c>
      <c r="F246" s="19" t="s">
        <v>165</v>
      </c>
      <c r="G246" s="26" t="s">
        <v>5</v>
      </c>
      <c r="H246" s="49" t="s">
        <v>264</v>
      </c>
      <c r="I246" s="19"/>
      <c r="J246" s="19"/>
      <c r="K246" s="19"/>
      <c r="L246" s="19"/>
      <c r="M246" s="10" t="s">
        <v>81</v>
      </c>
      <c r="N246" s="10" t="s">
        <v>146</v>
      </c>
      <c r="O246" s="10" t="s">
        <v>81</v>
      </c>
      <c r="P246" s="10" t="s">
        <v>69</v>
      </c>
      <c r="Q246" s="11" t="s">
        <v>1717</v>
      </c>
      <c r="R246" s="33" t="s">
        <v>69</v>
      </c>
      <c r="S246" s="33"/>
      <c r="T246" s="81"/>
    </row>
    <row r="247" spans="1:20" ht="34.5" x14ac:dyDescent="0.35">
      <c r="A247" s="56"/>
      <c r="B247" s="59" t="s">
        <v>37</v>
      </c>
      <c r="C247" s="20" t="s">
        <v>3</v>
      </c>
      <c r="D247" s="21" t="s">
        <v>1019</v>
      </c>
      <c r="E247" s="22" t="s">
        <v>1021</v>
      </c>
      <c r="F247" s="23" t="s">
        <v>1418</v>
      </c>
      <c r="G247" s="23" t="s">
        <v>5</v>
      </c>
      <c r="H247" s="50" t="s">
        <v>264</v>
      </c>
      <c r="I247" s="23"/>
      <c r="J247" s="23"/>
      <c r="K247" s="23"/>
      <c r="L247" s="23"/>
      <c r="M247" s="10" t="s">
        <v>81</v>
      </c>
      <c r="N247" s="10" t="s">
        <v>146</v>
      </c>
      <c r="O247" s="10" t="s">
        <v>81</v>
      </c>
      <c r="P247" s="10" t="s">
        <v>69</v>
      </c>
      <c r="Q247" s="11" t="s">
        <v>1717</v>
      </c>
      <c r="R247" s="33" t="s">
        <v>69</v>
      </c>
      <c r="S247" s="11"/>
      <c r="T247" s="77"/>
    </row>
    <row r="248" spans="1:20" ht="34.5" x14ac:dyDescent="0.35">
      <c r="A248" s="56"/>
      <c r="B248" s="59" t="s">
        <v>37</v>
      </c>
      <c r="C248" s="20" t="s">
        <v>3</v>
      </c>
      <c r="D248" s="21" t="s">
        <v>1020</v>
      </c>
      <c r="E248" s="22" t="s">
        <v>1419</v>
      </c>
      <c r="F248" s="23" t="s">
        <v>1435</v>
      </c>
      <c r="G248" s="23" t="s">
        <v>5</v>
      </c>
      <c r="H248" s="50" t="s">
        <v>264</v>
      </c>
      <c r="I248" s="23"/>
      <c r="J248" s="23"/>
      <c r="K248" s="23"/>
      <c r="L248" s="23"/>
      <c r="M248" s="10" t="s">
        <v>81</v>
      </c>
      <c r="N248" s="10" t="s">
        <v>146</v>
      </c>
      <c r="O248" s="10" t="s">
        <v>81</v>
      </c>
      <c r="P248" s="10" t="s">
        <v>69</v>
      </c>
      <c r="Q248" s="11" t="s">
        <v>1717</v>
      </c>
      <c r="R248" s="33" t="s">
        <v>69</v>
      </c>
      <c r="S248" s="11"/>
      <c r="T248" s="77"/>
    </row>
    <row r="249" spans="1:20" ht="92" x14ac:dyDescent="0.35">
      <c r="A249" s="56"/>
      <c r="B249" s="59" t="s">
        <v>37</v>
      </c>
      <c r="C249" s="41" t="s">
        <v>1</v>
      </c>
      <c r="D249" s="42" t="s">
        <v>166</v>
      </c>
      <c r="E249" s="14" t="s">
        <v>167</v>
      </c>
      <c r="F249" s="15" t="s">
        <v>1420</v>
      </c>
      <c r="G249" s="35" t="s">
        <v>5</v>
      </c>
      <c r="H249" s="48" t="s">
        <v>265</v>
      </c>
      <c r="I249" s="15" t="s">
        <v>564</v>
      </c>
      <c r="J249" s="15" t="s">
        <v>563</v>
      </c>
      <c r="K249" s="15" t="s">
        <v>565</v>
      </c>
      <c r="L249" s="15" t="s">
        <v>566</v>
      </c>
      <c r="M249" s="10" t="s">
        <v>81</v>
      </c>
      <c r="N249" s="10" t="s">
        <v>168</v>
      </c>
      <c r="O249" s="10" t="s">
        <v>81</v>
      </c>
      <c r="P249" s="10" t="s">
        <v>69</v>
      </c>
      <c r="Q249" s="33" t="s">
        <v>69</v>
      </c>
      <c r="R249" s="33" t="s">
        <v>69</v>
      </c>
      <c r="S249" s="33"/>
      <c r="T249" s="81"/>
    </row>
    <row r="250" spans="1:20" ht="34.5" x14ac:dyDescent="0.35">
      <c r="A250" s="56"/>
      <c r="B250" s="59" t="s">
        <v>37</v>
      </c>
      <c r="C250" s="43" t="s">
        <v>2</v>
      </c>
      <c r="D250" s="24" t="s">
        <v>169</v>
      </c>
      <c r="E250" s="18" t="s">
        <v>1421</v>
      </c>
      <c r="F250" s="19" t="s">
        <v>1422</v>
      </c>
      <c r="G250" s="26" t="s">
        <v>5</v>
      </c>
      <c r="H250" s="49" t="s">
        <v>267</v>
      </c>
      <c r="I250" s="26"/>
      <c r="J250" s="26"/>
      <c r="K250" s="26"/>
      <c r="L250" s="26"/>
      <c r="M250" s="10" t="s">
        <v>81</v>
      </c>
      <c r="N250" s="10" t="s">
        <v>797</v>
      </c>
      <c r="O250" s="10" t="s">
        <v>81</v>
      </c>
      <c r="P250" s="10" t="s">
        <v>69</v>
      </c>
      <c r="Q250" s="33" t="s">
        <v>69</v>
      </c>
      <c r="R250" s="33" t="s">
        <v>69</v>
      </c>
      <c r="S250" s="11" t="s">
        <v>249</v>
      </c>
      <c r="T250" s="81"/>
    </row>
    <row r="251" spans="1:20" ht="57.5" x14ac:dyDescent="0.35">
      <c r="A251" s="56"/>
      <c r="B251" s="59" t="s">
        <v>37</v>
      </c>
      <c r="C251" s="20" t="s">
        <v>3</v>
      </c>
      <c r="D251" s="21" t="s">
        <v>1024</v>
      </c>
      <c r="E251" s="22" t="s">
        <v>1423</v>
      </c>
      <c r="F251" s="23" t="s">
        <v>1424</v>
      </c>
      <c r="G251" s="23" t="s">
        <v>5</v>
      </c>
      <c r="H251" s="50" t="s">
        <v>267</v>
      </c>
      <c r="I251" s="23" t="s">
        <v>1030</v>
      </c>
      <c r="J251" s="23" t="s">
        <v>1031</v>
      </c>
      <c r="K251" s="23" t="s">
        <v>1032</v>
      </c>
      <c r="L251" s="23" t="s">
        <v>1033</v>
      </c>
      <c r="M251" s="10" t="s">
        <v>81</v>
      </c>
      <c r="N251" s="10" t="s">
        <v>797</v>
      </c>
      <c r="O251" s="10" t="s">
        <v>81</v>
      </c>
      <c r="P251" s="10" t="s">
        <v>69</v>
      </c>
      <c r="Q251" s="33" t="s">
        <v>69</v>
      </c>
      <c r="R251" s="33" t="s">
        <v>69</v>
      </c>
      <c r="S251" s="11" t="s">
        <v>249</v>
      </c>
      <c r="T251" s="77"/>
    </row>
    <row r="252" spans="1:20" ht="23" x14ac:dyDescent="0.35">
      <c r="A252" s="56"/>
      <c r="B252" s="59" t="s">
        <v>37</v>
      </c>
      <c r="C252" s="43" t="s">
        <v>2</v>
      </c>
      <c r="D252" s="24" t="s">
        <v>170</v>
      </c>
      <c r="E252" s="18" t="s">
        <v>1425</v>
      </c>
      <c r="F252" s="19" t="s">
        <v>1426</v>
      </c>
      <c r="G252" s="26" t="s">
        <v>5</v>
      </c>
      <c r="H252" s="49" t="s">
        <v>265</v>
      </c>
      <c r="I252" s="26"/>
      <c r="J252" s="26"/>
      <c r="K252" s="26"/>
      <c r="L252" s="26"/>
      <c r="M252" s="10" t="s">
        <v>81</v>
      </c>
      <c r="N252" s="10" t="s">
        <v>797</v>
      </c>
      <c r="O252" s="10" t="s">
        <v>81</v>
      </c>
      <c r="P252" s="10" t="s">
        <v>69</v>
      </c>
      <c r="Q252" s="33" t="s">
        <v>69</v>
      </c>
      <c r="R252" s="33" t="s">
        <v>69</v>
      </c>
      <c r="S252" s="33"/>
      <c r="T252" s="81"/>
    </row>
    <row r="253" spans="1:20" ht="34.5" x14ac:dyDescent="0.35">
      <c r="A253" s="56"/>
      <c r="B253" s="59" t="s">
        <v>37</v>
      </c>
      <c r="C253" s="20" t="s">
        <v>3</v>
      </c>
      <c r="D253" s="21" t="s">
        <v>1025</v>
      </c>
      <c r="E253" s="22" t="s">
        <v>1427</v>
      </c>
      <c r="F253" s="23" t="s">
        <v>1428</v>
      </c>
      <c r="G253" s="23" t="s">
        <v>5</v>
      </c>
      <c r="H253" s="50" t="s">
        <v>267</v>
      </c>
      <c r="I253" s="23"/>
      <c r="J253" s="23"/>
      <c r="K253" s="23"/>
      <c r="L253" s="23"/>
      <c r="M253" s="10" t="s">
        <v>81</v>
      </c>
      <c r="N253" s="10" t="s">
        <v>1026</v>
      </c>
      <c r="O253" s="10" t="s">
        <v>81</v>
      </c>
      <c r="P253" s="10" t="s">
        <v>69</v>
      </c>
      <c r="Q253" s="11" t="s">
        <v>69</v>
      </c>
      <c r="R253" s="11" t="s">
        <v>69</v>
      </c>
      <c r="S253" s="11"/>
      <c r="T253" s="77"/>
    </row>
    <row r="254" spans="1:20" ht="57.5" x14ac:dyDescent="0.35">
      <c r="A254" s="56"/>
      <c r="B254" s="59" t="s">
        <v>37</v>
      </c>
      <c r="C254" s="20" t="s">
        <v>3</v>
      </c>
      <c r="D254" s="21" t="s">
        <v>1027</v>
      </c>
      <c r="E254" s="22" t="s">
        <v>2210</v>
      </c>
      <c r="F254" s="23" t="s">
        <v>2211</v>
      </c>
      <c r="G254" s="23" t="s">
        <v>5</v>
      </c>
      <c r="H254" s="50" t="s">
        <v>265</v>
      </c>
      <c r="I254" s="23"/>
      <c r="J254" s="23"/>
      <c r="K254" s="23"/>
      <c r="L254" s="23"/>
      <c r="M254" s="10"/>
      <c r="N254" s="10"/>
      <c r="O254" s="10"/>
      <c r="P254" s="10"/>
      <c r="Q254" s="11" t="s">
        <v>69</v>
      </c>
      <c r="R254" s="11" t="s">
        <v>69</v>
      </c>
      <c r="S254" s="11"/>
      <c r="T254" s="77"/>
    </row>
    <row r="255" spans="1:20" ht="46" x14ac:dyDescent="0.35">
      <c r="A255" s="56"/>
      <c r="B255" s="59" t="s">
        <v>37</v>
      </c>
      <c r="C255" s="20" t="s">
        <v>3</v>
      </c>
      <c r="D255" s="21" t="s">
        <v>2209</v>
      </c>
      <c r="E255" s="22" t="s">
        <v>1014</v>
      </c>
      <c r="F255" s="23" t="s">
        <v>1429</v>
      </c>
      <c r="G255" s="23" t="s">
        <v>5</v>
      </c>
      <c r="H255" s="50" t="s">
        <v>264</v>
      </c>
      <c r="I255" s="23"/>
      <c r="J255" s="23" t="s">
        <v>1028</v>
      </c>
      <c r="K255" s="23" t="s">
        <v>1029</v>
      </c>
      <c r="L255" s="23"/>
      <c r="M255" s="10" t="s">
        <v>81</v>
      </c>
      <c r="N255" s="10" t="s">
        <v>1026</v>
      </c>
      <c r="O255" s="10" t="s">
        <v>81</v>
      </c>
      <c r="P255" s="10" t="s">
        <v>69</v>
      </c>
      <c r="Q255" s="11" t="s">
        <v>1717</v>
      </c>
      <c r="R255" s="11" t="s">
        <v>69</v>
      </c>
      <c r="S255" s="11"/>
      <c r="T255" s="77"/>
    </row>
    <row r="256" spans="1:20" ht="23" x14ac:dyDescent="0.35">
      <c r="A256" s="56"/>
      <c r="B256" s="59" t="s">
        <v>37</v>
      </c>
      <c r="C256" s="43" t="s">
        <v>47</v>
      </c>
      <c r="D256" s="17" t="s">
        <v>171</v>
      </c>
      <c r="E256" s="18" t="s">
        <v>1430</v>
      </c>
      <c r="F256" s="26" t="s">
        <v>163</v>
      </c>
      <c r="G256" s="26" t="s">
        <v>5</v>
      </c>
      <c r="H256" s="49" t="s">
        <v>267</v>
      </c>
      <c r="I256" s="26"/>
      <c r="J256" s="26"/>
      <c r="K256" s="26"/>
      <c r="L256" s="26"/>
      <c r="M256" s="10" t="s">
        <v>81</v>
      </c>
      <c r="N256" s="10" t="s">
        <v>81</v>
      </c>
      <c r="O256" s="10" t="s">
        <v>81</v>
      </c>
      <c r="P256" s="10" t="s">
        <v>69</v>
      </c>
      <c r="Q256" s="33" t="s">
        <v>69</v>
      </c>
      <c r="R256" s="33" t="s">
        <v>69</v>
      </c>
      <c r="S256" s="33"/>
      <c r="T256" s="81"/>
    </row>
    <row r="257" spans="1:20" ht="34.5" x14ac:dyDescent="0.35">
      <c r="A257" s="56"/>
      <c r="B257" s="59" t="s">
        <v>37</v>
      </c>
      <c r="C257" s="20" t="s">
        <v>3</v>
      </c>
      <c r="D257" s="21" t="s">
        <v>1034</v>
      </c>
      <c r="E257" s="22" t="s">
        <v>1036</v>
      </c>
      <c r="F257" s="23" t="s">
        <v>1431</v>
      </c>
      <c r="G257" s="23" t="s">
        <v>5</v>
      </c>
      <c r="H257" s="50" t="s">
        <v>267</v>
      </c>
      <c r="I257" s="23"/>
      <c r="J257" s="23"/>
      <c r="K257" s="23"/>
      <c r="L257" s="23"/>
      <c r="M257" s="10" t="s">
        <v>81</v>
      </c>
      <c r="N257" s="10" t="s">
        <v>81</v>
      </c>
      <c r="O257" s="10" t="s">
        <v>81</v>
      </c>
      <c r="P257" s="10" t="s">
        <v>69</v>
      </c>
      <c r="Q257" s="11" t="s">
        <v>69</v>
      </c>
      <c r="R257" s="11" t="s">
        <v>69</v>
      </c>
      <c r="S257" s="11"/>
      <c r="T257" s="77"/>
    </row>
    <row r="258" spans="1:20" ht="57.5" x14ac:dyDescent="0.35">
      <c r="A258" s="56"/>
      <c r="B258" s="59" t="s">
        <v>37</v>
      </c>
      <c r="C258" s="20" t="s">
        <v>3</v>
      </c>
      <c r="D258" s="21" t="s">
        <v>1035</v>
      </c>
      <c r="E258" s="22" t="s">
        <v>1018</v>
      </c>
      <c r="F258" s="23" t="s">
        <v>1432</v>
      </c>
      <c r="G258" s="105" t="str">
        <f>"Decision 
If yes, proceed to step "&amp;D259&amp;" 
If no, proceed to "&amp;D253&amp;""</f>
        <v>Decision 
If yes, proceed to step 4.2.6 
If no, proceed to 4.2.2.1</v>
      </c>
      <c r="H258" s="50" t="s">
        <v>267</v>
      </c>
      <c r="I258" s="23"/>
      <c r="J258" s="23"/>
      <c r="K258" s="23"/>
      <c r="L258" s="23"/>
      <c r="M258" s="10" t="s">
        <v>81</v>
      </c>
      <c r="N258" s="10" t="s">
        <v>81</v>
      </c>
      <c r="O258" s="10" t="s">
        <v>81</v>
      </c>
      <c r="P258" s="10" t="s">
        <v>69</v>
      </c>
      <c r="Q258" s="11" t="s">
        <v>69</v>
      </c>
      <c r="R258" s="11" t="s">
        <v>69</v>
      </c>
      <c r="S258" s="11"/>
      <c r="T258" s="77"/>
    </row>
    <row r="259" spans="1:20" ht="34.5" x14ac:dyDescent="0.35">
      <c r="A259" s="56"/>
      <c r="B259" s="59" t="s">
        <v>37</v>
      </c>
      <c r="C259" s="43" t="s">
        <v>2</v>
      </c>
      <c r="D259" s="24" t="s">
        <v>172</v>
      </c>
      <c r="E259" s="25" t="s">
        <v>173</v>
      </c>
      <c r="F259" s="26" t="s">
        <v>174</v>
      </c>
      <c r="G259" s="26" t="s">
        <v>5</v>
      </c>
      <c r="H259" s="51" t="s">
        <v>264</v>
      </c>
      <c r="I259" s="26"/>
      <c r="J259" s="26"/>
      <c r="K259" s="26"/>
      <c r="L259" s="26"/>
      <c r="M259" s="10" t="s">
        <v>81</v>
      </c>
      <c r="N259" s="10" t="s">
        <v>81</v>
      </c>
      <c r="O259" s="10" t="s">
        <v>81</v>
      </c>
      <c r="P259" s="10" t="s">
        <v>69</v>
      </c>
      <c r="Q259" s="151" t="s">
        <v>1717</v>
      </c>
      <c r="R259" s="33" t="s">
        <v>69</v>
      </c>
      <c r="S259" s="33"/>
      <c r="T259" s="81"/>
    </row>
    <row r="260" spans="1:20" ht="34.5" x14ac:dyDescent="0.35">
      <c r="A260" s="56"/>
      <c r="B260" s="59" t="s">
        <v>37</v>
      </c>
      <c r="C260" s="20" t="s">
        <v>3</v>
      </c>
      <c r="D260" s="21" t="s">
        <v>1037</v>
      </c>
      <c r="E260" s="22" t="s">
        <v>1021</v>
      </c>
      <c r="F260" s="23" t="s">
        <v>1433</v>
      </c>
      <c r="G260" s="23" t="s">
        <v>5</v>
      </c>
      <c r="H260" s="50" t="s">
        <v>264</v>
      </c>
      <c r="I260" s="23"/>
      <c r="J260" s="23"/>
      <c r="K260" s="23"/>
      <c r="L260" s="23"/>
      <c r="M260" s="10" t="s">
        <v>81</v>
      </c>
      <c r="N260" s="10" t="s">
        <v>81</v>
      </c>
      <c r="O260" s="10" t="s">
        <v>81</v>
      </c>
      <c r="P260" s="10" t="s">
        <v>69</v>
      </c>
      <c r="Q260" s="11" t="s">
        <v>1717</v>
      </c>
      <c r="R260" s="11" t="s">
        <v>69</v>
      </c>
      <c r="S260" s="11"/>
      <c r="T260" s="77"/>
    </row>
    <row r="261" spans="1:20" ht="34.5" x14ac:dyDescent="0.35">
      <c r="A261" s="56"/>
      <c r="B261" s="59" t="s">
        <v>37</v>
      </c>
      <c r="C261" s="20" t="s">
        <v>3</v>
      </c>
      <c r="D261" s="21" t="s">
        <v>1038</v>
      </c>
      <c r="E261" s="22" t="s">
        <v>1022</v>
      </c>
      <c r="F261" s="23" t="s">
        <v>1434</v>
      </c>
      <c r="G261" s="23" t="s">
        <v>5</v>
      </c>
      <c r="H261" s="50" t="s">
        <v>264</v>
      </c>
      <c r="I261" s="23"/>
      <c r="J261" s="23"/>
      <c r="K261" s="23"/>
      <c r="L261" s="23"/>
      <c r="M261" s="10" t="s">
        <v>81</v>
      </c>
      <c r="N261" s="10" t="s">
        <v>81</v>
      </c>
      <c r="O261" s="10" t="s">
        <v>81</v>
      </c>
      <c r="P261" s="10" t="s">
        <v>69</v>
      </c>
      <c r="Q261" s="11" t="s">
        <v>1717</v>
      </c>
      <c r="R261" s="11" t="s">
        <v>69</v>
      </c>
      <c r="S261" s="11"/>
      <c r="T261" s="77"/>
    </row>
    <row r="262" spans="1:20" ht="126.5" x14ac:dyDescent="0.35">
      <c r="A262" s="56"/>
      <c r="B262" s="59" t="s">
        <v>1145</v>
      </c>
      <c r="C262" s="6" t="s">
        <v>0</v>
      </c>
      <c r="D262" s="7" t="s">
        <v>175</v>
      </c>
      <c r="E262" s="8" t="s">
        <v>176</v>
      </c>
      <c r="F262" s="9" t="s">
        <v>2036</v>
      </c>
      <c r="G262" s="9" t="s">
        <v>5</v>
      </c>
      <c r="H262" s="47" t="s">
        <v>265</v>
      </c>
      <c r="I262" s="9" t="s">
        <v>568</v>
      </c>
      <c r="J262" s="9" t="s">
        <v>567</v>
      </c>
      <c r="K262" s="9" t="s">
        <v>569</v>
      </c>
      <c r="L262" s="9" t="s">
        <v>570</v>
      </c>
      <c r="M262" s="10"/>
      <c r="N262" s="10"/>
      <c r="O262" s="10"/>
      <c r="P262" s="10"/>
      <c r="Q262" s="33" t="s">
        <v>69</v>
      </c>
      <c r="R262" s="11" t="s">
        <v>69</v>
      </c>
      <c r="S262" s="11" t="s">
        <v>1283</v>
      </c>
      <c r="T262" s="76"/>
    </row>
    <row r="263" spans="1:20" ht="92" x14ac:dyDescent="0.35">
      <c r="A263" s="56" t="s">
        <v>31</v>
      </c>
      <c r="B263" s="59" t="s">
        <v>1155</v>
      </c>
      <c r="C263" s="12" t="s">
        <v>1</v>
      </c>
      <c r="D263" s="13" t="s">
        <v>177</v>
      </c>
      <c r="E263" s="14" t="s">
        <v>178</v>
      </c>
      <c r="F263" s="15" t="s">
        <v>2198</v>
      </c>
      <c r="G263" s="15" t="s">
        <v>5</v>
      </c>
      <c r="H263" s="48" t="s">
        <v>265</v>
      </c>
      <c r="I263" s="15" t="s">
        <v>572</v>
      </c>
      <c r="J263" s="15" t="s">
        <v>571</v>
      </c>
      <c r="K263" s="15" t="s">
        <v>573</v>
      </c>
      <c r="L263" s="15" t="s">
        <v>574</v>
      </c>
      <c r="M263" s="10" t="s">
        <v>81</v>
      </c>
      <c r="N263" s="10" t="s">
        <v>179</v>
      </c>
      <c r="O263" s="10" t="s">
        <v>81</v>
      </c>
      <c r="P263" s="10" t="s">
        <v>25</v>
      </c>
      <c r="Q263" s="33" t="s">
        <v>69</v>
      </c>
      <c r="R263" s="11" t="s">
        <v>69</v>
      </c>
      <c r="S263" s="11"/>
      <c r="T263" s="77"/>
    </row>
    <row r="264" spans="1:20" ht="23" x14ac:dyDescent="0.35">
      <c r="A264" s="56" t="s">
        <v>31</v>
      </c>
      <c r="B264" s="59" t="s">
        <v>1155</v>
      </c>
      <c r="C264" s="16" t="s">
        <v>2</v>
      </c>
      <c r="D264" s="17" t="s">
        <v>180</v>
      </c>
      <c r="E264" s="18" t="s">
        <v>1437</v>
      </c>
      <c r="F264" s="19" t="s">
        <v>1453</v>
      </c>
      <c r="G264" s="19" t="s">
        <v>5</v>
      </c>
      <c r="H264" s="19" t="s">
        <v>267</v>
      </c>
      <c r="I264" s="19"/>
      <c r="J264" s="19"/>
      <c r="K264" s="19"/>
      <c r="L264" s="19"/>
      <c r="M264" s="10"/>
      <c r="N264" s="10"/>
      <c r="O264" s="10"/>
      <c r="P264" s="10"/>
      <c r="Q264" s="11" t="s">
        <v>69</v>
      </c>
      <c r="R264" s="11" t="s">
        <v>69</v>
      </c>
      <c r="S264" s="11"/>
      <c r="T264" s="77"/>
    </row>
    <row r="265" spans="1:20" ht="69" x14ac:dyDescent="0.35">
      <c r="A265" s="56" t="s">
        <v>31</v>
      </c>
      <c r="B265" s="59" t="s">
        <v>1155</v>
      </c>
      <c r="C265" s="20" t="s">
        <v>3</v>
      </c>
      <c r="D265" s="21" t="s">
        <v>1702</v>
      </c>
      <c r="E265" s="22" t="s">
        <v>1438</v>
      </c>
      <c r="F265" s="23" t="s">
        <v>2215</v>
      </c>
      <c r="G265" s="23" t="s">
        <v>5</v>
      </c>
      <c r="H265" s="23" t="s">
        <v>267</v>
      </c>
      <c r="I265" s="93"/>
      <c r="J265" s="93"/>
      <c r="K265" s="93"/>
      <c r="L265" s="93"/>
      <c r="M265" s="95"/>
      <c r="N265" s="95"/>
      <c r="O265" s="95"/>
      <c r="P265" s="95"/>
      <c r="Q265" s="11" t="s">
        <v>69</v>
      </c>
      <c r="R265" s="11" t="s">
        <v>69</v>
      </c>
      <c r="S265" s="96"/>
      <c r="T265" s="97"/>
    </row>
    <row r="266" spans="1:20" ht="46" x14ac:dyDescent="0.35">
      <c r="A266" s="56" t="s">
        <v>31</v>
      </c>
      <c r="B266" s="59" t="s">
        <v>1155</v>
      </c>
      <c r="C266" s="20" t="s">
        <v>3</v>
      </c>
      <c r="D266" s="21" t="s">
        <v>1106</v>
      </c>
      <c r="E266" s="22" t="s">
        <v>1440</v>
      </c>
      <c r="F266" s="23" t="s">
        <v>1439</v>
      </c>
      <c r="G266" s="23" t="s">
        <v>5</v>
      </c>
      <c r="H266" s="23" t="s">
        <v>265</v>
      </c>
      <c r="I266" s="93"/>
      <c r="J266" s="93"/>
      <c r="K266" s="93"/>
      <c r="L266" s="93"/>
      <c r="M266" s="95"/>
      <c r="N266" s="95"/>
      <c r="O266" s="95"/>
      <c r="P266" s="95"/>
      <c r="Q266" s="11" t="s">
        <v>69</v>
      </c>
      <c r="R266" s="11" t="s">
        <v>69</v>
      </c>
      <c r="S266" s="96"/>
      <c r="T266" s="97"/>
    </row>
    <row r="267" spans="1:20" ht="57.5" x14ac:dyDescent="0.35">
      <c r="A267" s="56" t="s">
        <v>31</v>
      </c>
      <c r="B267" s="59" t="s">
        <v>1241</v>
      </c>
      <c r="C267" s="16" t="s">
        <v>2</v>
      </c>
      <c r="D267" s="17" t="s">
        <v>182</v>
      </c>
      <c r="E267" s="18" t="s">
        <v>181</v>
      </c>
      <c r="F267" s="19" t="s">
        <v>1436</v>
      </c>
      <c r="G267" s="19" t="s">
        <v>5</v>
      </c>
      <c r="H267" s="49" t="s">
        <v>265</v>
      </c>
      <c r="I267" s="19" t="s">
        <v>576</v>
      </c>
      <c r="J267" s="19" t="s">
        <v>575</v>
      </c>
      <c r="K267" s="19" t="s">
        <v>577</v>
      </c>
      <c r="L267" s="19" t="s">
        <v>289</v>
      </c>
      <c r="M267" s="10" t="s">
        <v>81</v>
      </c>
      <c r="N267" s="10" t="s">
        <v>179</v>
      </c>
      <c r="O267" s="10" t="s">
        <v>81</v>
      </c>
      <c r="P267" s="10" t="s">
        <v>779</v>
      </c>
      <c r="Q267" s="11" t="s">
        <v>69</v>
      </c>
      <c r="R267" s="11" t="s">
        <v>1283</v>
      </c>
      <c r="S267" s="11"/>
      <c r="T267" s="77"/>
    </row>
    <row r="268" spans="1:20" ht="57.5" x14ac:dyDescent="0.35">
      <c r="A268" s="56" t="s">
        <v>31</v>
      </c>
      <c r="B268" s="59" t="s">
        <v>1155</v>
      </c>
      <c r="C268" s="91" t="s">
        <v>3</v>
      </c>
      <c r="D268" s="21" t="s">
        <v>1120</v>
      </c>
      <c r="E268" s="22" t="s">
        <v>1107</v>
      </c>
      <c r="F268" s="23" t="s">
        <v>1510</v>
      </c>
      <c r="G268" s="93" t="s">
        <v>5</v>
      </c>
      <c r="H268" s="94" t="s">
        <v>264</v>
      </c>
      <c r="I268" s="93" t="s">
        <v>1108</v>
      </c>
      <c r="J268" s="93" t="s">
        <v>1109</v>
      </c>
      <c r="K268" s="93" t="s">
        <v>1110</v>
      </c>
      <c r="L268" s="93" t="s">
        <v>1111</v>
      </c>
      <c r="M268" s="95" t="s">
        <v>81</v>
      </c>
      <c r="N268" s="95" t="s">
        <v>69</v>
      </c>
      <c r="O268" s="95" t="s">
        <v>81</v>
      </c>
      <c r="P268" s="95" t="s">
        <v>81</v>
      </c>
      <c r="Q268" s="11" t="s">
        <v>1287</v>
      </c>
      <c r="R268" s="96" t="s">
        <v>69</v>
      </c>
      <c r="S268" s="96"/>
      <c r="T268" s="97"/>
    </row>
    <row r="269" spans="1:20" ht="57.5" x14ac:dyDescent="0.35">
      <c r="A269" s="56"/>
      <c r="B269" s="90" t="s">
        <v>83</v>
      </c>
      <c r="C269" s="91" t="s">
        <v>3</v>
      </c>
      <c r="D269" s="21" t="s">
        <v>1121</v>
      </c>
      <c r="E269" s="22" t="s">
        <v>1511</v>
      </c>
      <c r="F269" s="23" t="s">
        <v>1512</v>
      </c>
      <c r="G269" s="93" t="s">
        <v>5</v>
      </c>
      <c r="H269" s="94" t="s">
        <v>264</v>
      </c>
      <c r="I269" s="93" t="s">
        <v>1112</v>
      </c>
      <c r="J269" s="93" t="s">
        <v>1113</v>
      </c>
      <c r="K269" s="93" t="s">
        <v>1114</v>
      </c>
      <c r="L269" s="93" t="s">
        <v>1115</v>
      </c>
      <c r="M269" s="95" t="s">
        <v>81</v>
      </c>
      <c r="N269" s="95" t="s">
        <v>69</v>
      </c>
      <c r="O269" s="95" t="s">
        <v>81</v>
      </c>
      <c r="P269" s="95" t="s">
        <v>81</v>
      </c>
      <c r="Q269" s="11" t="s">
        <v>1287</v>
      </c>
      <c r="R269" s="11" t="s">
        <v>249</v>
      </c>
      <c r="S269" s="96"/>
      <c r="T269" s="97"/>
    </row>
    <row r="270" spans="1:20" ht="57.5" x14ac:dyDescent="0.35">
      <c r="A270" s="56"/>
      <c r="B270" s="90" t="s">
        <v>83</v>
      </c>
      <c r="C270" s="91" t="s">
        <v>3</v>
      </c>
      <c r="D270" s="21" t="s">
        <v>1122</v>
      </c>
      <c r="E270" s="22" t="s">
        <v>1454</v>
      </c>
      <c r="F270" s="23" t="s">
        <v>1472</v>
      </c>
      <c r="G270" s="93" t="s">
        <v>5</v>
      </c>
      <c r="H270" s="94" t="s">
        <v>264</v>
      </c>
      <c r="I270" s="93" t="s">
        <v>1116</v>
      </c>
      <c r="J270" s="93" t="s">
        <v>1119</v>
      </c>
      <c r="K270" s="93" t="s">
        <v>1117</v>
      </c>
      <c r="L270" s="93" t="s">
        <v>1118</v>
      </c>
      <c r="M270" s="95" t="s">
        <v>81</v>
      </c>
      <c r="N270" s="95" t="s">
        <v>69</v>
      </c>
      <c r="O270" s="95" t="s">
        <v>81</v>
      </c>
      <c r="P270" s="95" t="s">
        <v>770</v>
      </c>
      <c r="Q270" s="11" t="s">
        <v>1287</v>
      </c>
      <c r="R270" s="11" t="s">
        <v>249</v>
      </c>
      <c r="S270" s="11"/>
      <c r="T270" s="97"/>
    </row>
    <row r="271" spans="1:20" ht="34.5" x14ac:dyDescent="0.35">
      <c r="A271" s="56" t="s">
        <v>31</v>
      </c>
      <c r="B271" s="59" t="s">
        <v>1155</v>
      </c>
      <c r="C271" s="91" t="s">
        <v>3</v>
      </c>
      <c r="D271" s="21" t="s">
        <v>1124</v>
      </c>
      <c r="E271" s="22" t="s">
        <v>1455</v>
      </c>
      <c r="F271" s="23" t="s">
        <v>1513</v>
      </c>
      <c r="G271" s="93" t="s">
        <v>5</v>
      </c>
      <c r="H271" s="94" t="s">
        <v>264</v>
      </c>
      <c r="I271" s="93"/>
      <c r="J271" s="93"/>
      <c r="K271" s="93"/>
      <c r="L271" s="93"/>
      <c r="M271" s="95"/>
      <c r="N271" s="95"/>
      <c r="O271" s="95"/>
      <c r="P271" s="95"/>
      <c r="Q271" s="11" t="s">
        <v>1287</v>
      </c>
      <c r="R271" s="11" t="s">
        <v>1283</v>
      </c>
      <c r="S271" s="11"/>
      <c r="T271" s="97"/>
    </row>
    <row r="272" spans="1:20" ht="34.5" x14ac:dyDescent="0.35">
      <c r="A272" s="56" t="s">
        <v>31</v>
      </c>
      <c r="B272" s="59" t="s">
        <v>1155</v>
      </c>
      <c r="C272" s="91" t="s">
        <v>3</v>
      </c>
      <c r="D272" s="21" t="s">
        <v>1125</v>
      </c>
      <c r="E272" s="22" t="s">
        <v>1456</v>
      </c>
      <c r="F272" s="23" t="s">
        <v>1471</v>
      </c>
      <c r="G272" s="93" t="s">
        <v>5</v>
      </c>
      <c r="H272" s="50" t="s">
        <v>267</v>
      </c>
      <c r="I272" s="93"/>
      <c r="J272" s="93"/>
      <c r="K272" s="93"/>
      <c r="L272" s="93"/>
      <c r="M272" s="95"/>
      <c r="N272" s="95"/>
      <c r="O272" s="95"/>
      <c r="P272" s="95"/>
      <c r="Q272" s="11" t="s">
        <v>69</v>
      </c>
      <c r="R272" s="11" t="s">
        <v>1283</v>
      </c>
      <c r="S272" s="11"/>
      <c r="T272" s="97"/>
    </row>
    <row r="273" spans="1:20" ht="46" x14ac:dyDescent="0.35">
      <c r="A273" s="56" t="s">
        <v>31</v>
      </c>
      <c r="B273" s="59" t="s">
        <v>1155</v>
      </c>
      <c r="C273" s="91" t="s">
        <v>3</v>
      </c>
      <c r="D273" s="21" t="s">
        <v>1459</v>
      </c>
      <c r="E273" s="22" t="s">
        <v>1457</v>
      </c>
      <c r="F273" s="23" t="s">
        <v>1473</v>
      </c>
      <c r="G273" s="93" t="s">
        <v>5</v>
      </c>
      <c r="H273" s="94" t="s">
        <v>264</v>
      </c>
      <c r="I273" s="93"/>
      <c r="J273" s="93"/>
      <c r="K273" s="93"/>
      <c r="L273" s="93"/>
      <c r="M273" s="95"/>
      <c r="N273" s="95"/>
      <c r="O273" s="95"/>
      <c r="P273" s="95"/>
      <c r="Q273" s="11" t="s">
        <v>1287</v>
      </c>
      <c r="R273" s="11" t="s">
        <v>1283</v>
      </c>
      <c r="S273" s="11"/>
      <c r="T273" s="97"/>
    </row>
    <row r="274" spans="1:20" ht="34.5" x14ac:dyDescent="0.35">
      <c r="A274" s="56" t="s">
        <v>31</v>
      </c>
      <c r="B274" s="59" t="s">
        <v>1155</v>
      </c>
      <c r="C274" s="91" t="s">
        <v>3</v>
      </c>
      <c r="D274" s="21" t="s">
        <v>1460</v>
      </c>
      <c r="E274" s="22" t="s">
        <v>1514</v>
      </c>
      <c r="F274" s="23" t="s">
        <v>1515</v>
      </c>
      <c r="G274" s="93" t="s">
        <v>5</v>
      </c>
      <c r="H274" s="50" t="s">
        <v>267</v>
      </c>
      <c r="I274" s="93"/>
      <c r="J274" s="93"/>
      <c r="K274" s="93"/>
      <c r="L274" s="93"/>
      <c r="M274" s="95"/>
      <c r="N274" s="95"/>
      <c r="O274" s="95"/>
      <c r="P274" s="95"/>
      <c r="Q274" s="11" t="s">
        <v>69</v>
      </c>
      <c r="R274" s="11" t="s">
        <v>1283</v>
      </c>
      <c r="S274" s="11"/>
      <c r="T274" s="97"/>
    </row>
    <row r="275" spans="1:20" ht="23" x14ac:dyDescent="0.35">
      <c r="A275" s="56"/>
      <c r="B275" s="59" t="s">
        <v>1628</v>
      </c>
      <c r="C275" s="91" t="s">
        <v>3</v>
      </c>
      <c r="D275" s="21" t="s">
        <v>1461</v>
      </c>
      <c r="E275" s="22" t="s">
        <v>1480</v>
      </c>
      <c r="F275" s="23" t="s">
        <v>1481</v>
      </c>
      <c r="G275" s="93" t="s">
        <v>5</v>
      </c>
      <c r="H275" s="94" t="s">
        <v>264</v>
      </c>
      <c r="I275" s="93"/>
      <c r="J275" s="93"/>
      <c r="K275" s="93"/>
      <c r="L275" s="93"/>
      <c r="M275" s="95"/>
      <c r="N275" s="95"/>
      <c r="O275" s="95"/>
      <c r="P275" s="95"/>
      <c r="Q275" s="11" t="s">
        <v>1717</v>
      </c>
      <c r="R275" s="96" t="s">
        <v>69</v>
      </c>
      <c r="S275" s="11"/>
      <c r="T275" s="97"/>
    </row>
    <row r="276" spans="1:20" ht="34.5" x14ac:dyDescent="0.35">
      <c r="A276" s="56"/>
      <c r="B276" s="59" t="s">
        <v>37</v>
      </c>
      <c r="C276" s="91" t="s">
        <v>3</v>
      </c>
      <c r="D276" s="21" t="s">
        <v>1462</v>
      </c>
      <c r="E276" s="22" t="s">
        <v>1516</v>
      </c>
      <c r="F276" s="23" t="s">
        <v>1520</v>
      </c>
      <c r="G276" s="93" t="s">
        <v>5</v>
      </c>
      <c r="H276" s="50" t="s">
        <v>265</v>
      </c>
      <c r="I276" s="93"/>
      <c r="J276" s="93"/>
      <c r="K276" s="93"/>
      <c r="L276" s="93"/>
      <c r="M276" s="95"/>
      <c r="N276" s="95"/>
      <c r="O276" s="95"/>
      <c r="P276" s="95"/>
      <c r="Q276" s="96" t="s">
        <v>69</v>
      </c>
      <c r="R276" s="96" t="s">
        <v>69</v>
      </c>
      <c r="S276" s="11"/>
      <c r="T276" s="97"/>
    </row>
    <row r="277" spans="1:20" ht="34.5" x14ac:dyDescent="0.35">
      <c r="A277" s="56" t="s">
        <v>31</v>
      </c>
      <c r="B277" s="59" t="s">
        <v>1708</v>
      </c>
      <c r="C277" s="16" t="s">
        <v>2</v>
      </c>
      <c r="D277" s="17" t="s">
        <v>183</v>
      </c>
      <c r="E277" s="18" t="s">
        <v>1463</v>
      </c>
      <c r="F277" s="19" t="s">
        <v>1464</v>
      </c>
      <c r="G277" s="19" t="s">
        <v>5</v>
      </c>
      <c r="H277" s="49" t="s">
        <v>265</v>
      </c>
      <c r="I277" s="26"/>
      <c r="J277" s="26"/>
      <c r="K277" s="26"/>
      <c r="L277" s="26"/>
      <c r="M277" s="10" t="s">
        <v>81</v>
      </c>
      <c r="N277" s="10" t="s">
        <v>179</v>
      </c>
      <c r="O277" s="10" t="s">
        <v>81</v>
      </c>
      <c r="P277" s="10" t="s">
        <v>779</v>
      </c>
      <c r="Q277" s="11" t="s">
        <v>69</v>
      </c>
      <c r="R277" s="11" t="s">
        <v>69</v>
      </c>
      <c r="S277" s="11" t="s">
        <v>249</v>
      </c>
      <c r="T277" s="77"/>
    </row>
    <row r="278" spans="1:20" ht="149.5" x14ac:dyDescent="0.35">
      <c r="A278" s="56" t="s">
        <v>31</v>
      </c>
      <c r="B278" s="59" t="s">
        <v>1703</v>
      </c>
      <c r="C278" s="91" t="s">
        <v>3</v>
      </c>
      <c r="D278" s="21" t="s">
        <v>1441</v>
      </c>
      <c r="E278" s="22" t="s">
        <v>1465</v>
      </c>
      <c r="F278" s="23" t="s">
        <v>1917</v>
      </c>
      <c r="G278" s="93" t="s">
        <v>5</v>
      </c>
      <c r="H278" s="94" t="s">
        <v>264</v>
      </c>
      <c r="I278" s="93" t="s">
        <v>1126</v>
      </c>
      <c r="J278" s="93" t="s">
        <v>1127</v>
      </c>
      <c r="K278" s="93" t="s">
        <v>1128</v>
      </c>
      <c r="L278" s="93" t="s">
        <v>1129</v>
      </c>
      <c r="M278" s="95" t="s">
        <v>81</v>
      </c>
      <c r="N278" s="95" t="s">
        <v>69</v>
      </c>
      <c r="O278" s="95" t="s">
        <v>81</v>
      </c>
      <c r="P278" s="95" t="s">
        <v>81</v>
      </c>
      <c r="Q278" s="11" t="s">
        <v>1287</v>
      </c>
      <c r="R278" s="96" t="s">
        <v>69</v>
      </c>
      <c r="S278" s="96"/>
      <c r="T278" s="97"/>
    </row>
    <row r="279" spans="1:20" ht="80.5" x14ac:dyDescent="0.35">
      <c r="A279" s="56" t="s">
        <v>31</v>
      </c>
      <c r="B279" s="59" t="s">
        <v>1704</v>
      </c>
      <c r="C279" s="91" t="s">
        <v>3</v>
      </c>
      <c r="D279" s="21" t="s">
        <v>1442</v>
      </c>
      <c r="E279" s="82" t="s">
        <v>1123</v>
      </c>
      <c r="F279" s="23" t="s">
        <v>1629</v>
      </c>
      <c r="G279" s="93" t="s">
        <v>5</v>
      </c>
      <c r="H279" s="50" t="s">
        <v>265</v>
      </c>
      <c r="I279" s="93" t="s">
        <v>1130</v>
      </c>
      <c r="J279" s="93" t="s">
        <v>1131</v>
      </c>
      <c r="K279" s="93" t="s">
        <v>1132</v>
      </c>
      <c r="L279" s="93" t="s">
        <v>1133</v>
      </c>
      <c r="M279" s="95" t="s">
        <v>81</v>
      </c>
      <c r="N279" s="95" t="s">
        <v>69</v>
      </c>
      <c r="O279" s="95" t="s">
        <v>81</v>
      </c>
      <c r="P279" s="95" t="s">
        <v>81</v>
      </c>
      <c r="Q279" s="11" t="s">
        <v>249</v>
      </c>
      <c r="R279" s="11" t="s">
        <v>249</v>
      </c>
      <c r="S279" s="11"/>
      <c r="T279" s="97"/>
    </row>
    <row r="280" spans="1:20" ht="46" x14ac:dyDescent="0.35">
      <c r="A280" s="56" t="s">
        <v>31</v>
      </c>
      <c r="B280" s="59" t="s">
        <v>1704</v>
      </c>
      <c r="C280" s="91" t="s">
        <v>3</v>
      </c>
      <c r="D280" s="21" t="s">
        <v>1443</v>
      </c>
      <c r="E280" s="22" t="s">
        <v>1466</v>
      </c>
      <c r="F280" s="23" t="s">
        <v>1467</v>
      </c>
      <c r="G280" s="93" t="s">
        <v>5</v>
      </c>
      <c r="H280" s="94" t="s">
        <v>265</v>
      </c>
      <c r="I280" s="93" t="s">
        <v>1134</v>
      </c>
      <c r="J280" s="93" t="s">
        <v>1135</v>
      </c>
      <c r="K280" s="93" t="s">
        <v>1136</v>
      </c>
      <c r="L280" s="93" t="s">
        <v>1137</v>
      </c>
      <c r="M280" s="95" t="s">
        <v>81</v>
      </c>
      <c r="N280" s="95" t="s">
        <v>69</v>
      </c>
      <c r="O280" s="95" t="s">
        <v>81</v>
      </c>
      <c r="P280" s="95" t="s">
        <v>777</v>
      </c>
      <c r="Q280" s="11" t="s">
        <v>69</v>
      </c>
      <c r="R280" s="11" t="s">
        <v>249</v>
      </c>
      <c r="S280" s="11" t="s">
        <v>249</v>
      </c>
      <c r="T280" s="97"/>
    </row>
    <row r="281" spans="1:20" ht="23" x14ac:dyDescent="0.35">
      <c r="A281" s="56" t="s">
        <v>31</v>
      </c>
      <c r="B281" s="59" t="s">
        <v>1703</v>
      </c>
      <c r="C281" s="91" t="s">
        <v>3</v>
      </c>
      <c r="D281" s="21" t="s">
        <v>1444</v>
      </c>
      <c r="E281" s="22" t="s">
        <v>1474</v>
      </c>
      <c r="F281" s="23" t="s">
        <v>1468</v>
      </c>
      <c r="G281" s="93" t="s">
        <v>5</v>
      </c>
      <c r="H281" s="50" t="s">
        <v>264</v>
      </c>
      <c r="I281" s="93"/>
      <c r="J281" s="93"/>
      <c r="K281" s="93"/>
      <c r="L281" s="93"/>
      <c r="M281" s="95"/>
      <c r="N281" s="95"/>
      <c r="O281" s="95"/>
      <c r="P281" s="95"/>
      <c r="Q281" s="11" t="s">
        <v>1287</v>
      </c>
      <c r="R281" s="96" t="s">
        <v>69</v>
      </c>
      <c r="S281" s="11"/>
      <c r="T281" s="97"/>
    </row>
    <row r="282" spans="1:20" ht="46" x14ac:dyDescent="0.35">
      <c r="A282" s="56" t="s">
        <v>31</v>
      </c>
      <c r="B282" s="59" t="s">
        <v>1155</v>
      </c>
      <c r="C282" s="91" t="s">
        <v>3</v>
      </c>
      <c r="D282" s="21" t="s">
        <v>1445</v>
      </c>
      <c r="E282" s="22" t="s">
        <v>1475</v>
      </c>
      <c r="F282" s="23" t="s">
        <v>1518</v>
      </c>
      <c r="G282" s="93" t="s">
        <v>5</v>
      </c>
      <c r="H282" s="50" t="s">
        <v>267</v>
      </c>
      <c r="I282" s="93"/>
      <c r="J282" s="93"/>
      <c r="K282" s="93"/>
      <c r="L282" s="93"/>
      <c r="M282" s="95"/>
      <c r="N282" s="95"/>
      <c r="O282" s="95"/>
      <c r="P282" s="95"/>
      <c r="Q282" s="11" t="s">
        <v>1283</v>
      </c>
      <c r="R282" s="96" t="s">
        <v>69</v>
      </c>
      <c r="S282" s="11"/>
      <c r="T282" s="97"/>
    </row>
    <row r="283" spans="1:20" ht="34.5" x14ac:dyDescent="0.35">
      <c r="A283" s="56" t="s">
        <v>31</v>
      </c>
      <c r="B283" s="59" t="s">
        <v>1155</v>
      </c>
      <c r="C283" s="91" t="s">
        <v>3</v>
      </c>
      <c r="D283" s="21" t="s">
        <v>1470</v>
      </c>
      <c r="E283" s="22" t="s">
        <v>1476</v>
      </c>
      <c r="F283" s="23" t="s">
        <v>1469</v>
      </c>
      <c r="G283" s="93" t="s">
        <v>5</v>
      </c>
      <c r="H283" s="50" t="s">
        <v>264</v>
      </c>
      <c r="I283" s="93"/>
      <c r="J283" s="93"/>
      <c r="K283" s="93"/>
      <c r="L283" s="93"/>
      <c r="M283" s="95"/>
      <c r="N283" s="95"/>
      <c r="O283" s="95"/>
      <c r="P283" s="95"/>
      <c r="Q283" s="11" t="s">
        <v>1287</v>
      </c>
      <c r="R283" s="96" t="s">
        <v>69</v>
      </c>
      <c r="S283" s="11"/>
      <c r="T283" s="97"/>
    </row>
    <row r="284" spans="1:20" ht="34.5" x14ac:dyDescent="0.35">
      <c r="A284" s="56" t="s">
        <v>31</v>
      </c>
      <c r="B284" s="59" t="s">
        <v>1155</v>
      </c>
      <c r="C284" s="91" t="s">
        <v>3</v>
      </c>
      <c r="D284" s="21" t="s">
        <v>1477</v>
      </c>
      <c r="E284" s="22" t="s">
        <v>1517</v>
      </c>
      <c r="F284" s="23" t="s">
        <v>1519</v>
      </c>
      <c r="G284" s="93" t="s">
        <v>5</v>
      </c>
      <c r="H284" s="50" t="s">
        <v>267</v>
      </c>
      <c r="I284" s="93"/>
      <c r="J284" s="93"/>
      <c r="K284" s="93"/>
      <c r="L284" s="93"/>
      <c r="M284" s="95"/>
      <c r="N284" s="95"/>
      <c r="O284" s="95"/>
      <c r="P284" s="95"/>
      <c r="Q284" s="11" t="s">
        <v>69</v>
      </c>
      <c r="R284" s="96" t="s">
        <v>69</v>
      </c>
      <c r="S284" s="11" t="s">
        <v>1283</v>
      </c>
      <c r="T284" s="97"/>
    </row>
    <row r="285" spans="1:20" ht="46" x14ac:dyDescent="0.35">
      <c r="A285" s="56"/>
      <c r="B285" s="59" t="s">
        <v>1705</v>
      </c>
      <c r="C285" s="91" t="s">
        <v>3</v>
      </c>
      <c r="D285" s="21" t="s">
        <v>1477</v>
      </c>
      <c r="E285" s="22" t="s">
        <v>1482</v>
      </c>
      <c r="F285" s="23" t="s">
        <v>1630</v>
      </c>
      <c r="G285" s="93" t="s">
        <v>5</v>
      </c>
      <c r="H285" s="50" t="s">
        <v>265</v>
      </c>
      <c r="I285" s="93" t="s">
        <v>1138</v>
      </c>
      <c r="J285" s="93" t="s">
        <v>1139</v>
      </c>
      <c r="K285" s="93" t="s">
        <v>1140</v>
      </c>
      <c r="L285" s="93" t="s">
        <v>1141</v>
      </c>
      <c r="M285" s="95" t="s">
        <v>81</v>
      </c>
      <c r="N285" s="95" t="s">
        <v>69</v>
      </c>
      <c r="O285" s="95" t="s">
        <v>81</v>
      </c>
      <c r="P285" s="95" t="s">
        <v>81</v>
      </c>
      <c r="Q285" s="11" t="s">
        <v>249</v>
      </c>
      <c r="R285" s="11" t="s">
        <v>249</v>
      </c>
      <c r="S285" s="11"/>
      <c r="T285" s="97"/>
    </row>
    <row r="286" spans="1:20" ht="34.5" x14ac:dyDescent="0.35">
      <c r="A286" s="56"/>
      <c r="B286" s="59" t="s">
        <v>37</v>
      </c>
      <c r="C286" s="91" t="s">
        <v>3</v>
      </c>
      <c r="D286" s="21" t="s">
        <v>1478</v>
      </c>
      <c r="E286" s="22" t="s">
        <v>1523</v>
      </c>
      <c r="F286" s="23" t="s">
        <v>1522</v>
      </c>
      <c r="G286" s="93" t="s">
        <v>5</v>
      </c>
      <c r="H286" s="50" t="s">
        <v>265</v>
      </c>
      <c r="I286" s="93"/>
      <c r="J286" s="93"/>
      <c r="K286" s="93"/>
      <c r="L286" s="93"/>
      <c r="M286" s="95"/>
      <c r="N286" s="95"/>
      <c r="O286" s="95"/>
      <c r="P286" s="95"/>
      <c r="Q286" s="11" t="s">
        <v>249</v>
      </c>
      <c r="R286" s="11" t="s">
        <v>249</v>
      </c>
      <c r="S286" s="11"/>
      <c r="T286" s="97"/>
    </row>
    <row r="287" spans="1:20" ht="46" x14ac:dyDescent="0.35">
      <c r="A287" s="56" t="s">
        <v>31</v>
      </c>
      <c r="B287" s="90" t="s">
        <v>1155</v>
      </c>
      <c r="C287" s="91" t="s">
        <v>3</v>
      </c>
      <c r="D287" s="21" t="s">
        <v>1479</v>
      </c>
      <c r="E287" s="22" t="s">
        <v>1483</v>
      </c>
      <c r="F287" s="23" t="s">
        <v>1521</v>
      </c>
      <c r="G287" s="93" t="str">
        <f>"Decision 
If yes, proceed to step "&amp;D293&amp;" 
If no, proceed to "&amp;D288&amp;""</f>
        <v>Decision 
If yes, proceed to step 5.1.6 
If no, proceed to 5.1.4</v>
      </c>
      <c r="H287" s="94" t="s">
        <v>264</v>
      </c>
      <c r="I287" s="93"/>
      <c r="J287" s="93"/>
      <c r="K287" s="93"/>
      <c r="L287" s="93"/>
      <c r="M287" s="95" t="s">
        <v>81</v>
      </c>
      <c r="N287" s="95" t="s">
        <v>69</v>
      </c>
      <c r="O287" s="95" t="s">
        <v>81</v>
      </c>
      <c r="P287" s="95" t="s">
        <v>81</v>
      </c>
      <c r="Q287" s="11" t="s">
        <v>1287</v>
      </c>
      <c r="R287" s="96" t="s">
        <v>69</v>
      </c>
      <c r="S287" s="11" t="s">
        <v>1706</v>
      </c>
      <c r="T287" s="97"/>
    </row>
    <row r="288" spans="1:20" ht="46" x14ac:dyDescent="0.35">
      <c r="A288" s="56" t="s">
        <v>31</v>
      </c>
      <c r="B288" s="90" t="s">
        <v>1155</v>
      </c>
      <c r="C288" s="16" t="s">
        <v>2</v>
      </c>
      <c r="D288" s="17" t="s">
        <v>185</v>
      </c>
      <c r="E288" s="25" t="s">
        <v>184</v>
      </c>
      <c r="F288" s="19" t="s">
        <v>1484</v>
      </c>
      <c r="G288" s="19" t="str">
        <f>"Decision 
If yes, proceed to step "&amp;D289&amp;" 
If no, proceed to "&amp;D293&amp;""</f>
        <v>Decision 
If yes, proceed to step 5.1.5 
If no, proceed to 5.1.6</v>
      </c>
      <c r="H288" s="49" t="s">
        <v>264</v>
      </c>
      <c r="I288" s="26"/>
      <c r="J288" s="26"/>
      <c r="K288" s="26"/>
      <c r="L288" s="26"/>
      <c r="M288" s="10" t="s">
        <v>81</v>
      </c>
      <c r="N288" s="10" t="s">
        <v>179</v>
      </c>
      <c r="O288" s="10" t="s">
        <v>81</v>
      </c>
      <c r="P288" s="10" t="s">
        <v>81</v>
      </c>
      <c r="Q288" s="11" t="s">
        <v>1287</v>
      </c>
      <c r="R288" s="11" t="s">
        <v>69</v>
      </c>
      <c r="S288" s="33"/>
      <c r="T288" s="77"/>
    </row>
    <row r="289" spans="1:21" ht="34.5" x14ac:dyDescent="0.35">
      <c r="A289" s="56" t="s">
        <v>31</v>
      </c>
      <c r="B289" s="59" t="s">
        <v>1241</v>
      </c>
      <c r="C289" s="16" t="s">
        <v>2</v>
      </c>
      <c r="D289" s="17" t="s">
        <v>187</v>
      </c>
      <c r="E289" s="25" t="s">
        <v>186</v>
      </c>
      <c r="F289" s="19" t="s">
        <v>1485</v>
      </c>
      <c r="G289" s="19" t="s">
        <v>5</v>
      </c>
      <c r="H289" s="49" t="s">
        <v>267</v>
      </c>
      <c r="I289" s="26"/>
      <c r="J289" s="26"/>
      <c r="K289" s="26"/>
      <c r="L289" s="26"/>
      <c r="M289" s="10" t="s">
        <v>81</v>
      </c>
      <c r="N289" s="10" t="s">
        <v>179</v>
      </c>
      <c r="O289" s="10" t="s">
        <v>81</v>
      </c>
      <c r="P289" s="10" t="s">
        <v>779</v>
      </c>
      <c r="Q289" s="33" t="s">
        <v>69</v>
      </c>
      <c r="R289" s="11" t="s">
        <v>1283</v>
      </c>
      <c r="S289" s="33"/>
      <c r="T289" s="77"/>
    </row>
    <row r="290" spans="1:21" ht="57.5" x14ac:dyDescent="0.35">
      <c r="A290" s="56" t="s">
        <v>31</v>
      </c>
      <c r="B290" s="59" t="s">
        <v>1241</v>
      </c>
      <c r="C290" s="91" t="s">
        <v>3</v>
      </c>
      <c r="D290" s="21" t="s">
        <v>1151</v>
      </c>
      <c r="E290" s="82" t="s">
        <v>1142</v>
      </c>
      <c r="F290" s="23" t="s">
        <v>1486</v>
      </c>
      <c r="G290" s="93" t="s">
        <v>5</v>
      </c>
      <c r="H290" s="94" t="s">
        <v>267</v>
      </c>
      <c r="I290" s="93" t="s">
        <v>1146</v>
      </c>
      <c r="J290" s="93" t="s">
        <v>1147</v>
      </c>
      <c r="K290" s="93" t="s">
        <v>1148</v>
      </c>
      <c r="L290" s="93" t="s">
        <v>1149</v>
      </c>
      <c r="M290" s="95" t="s">
        <v>81</v>
      </c>
      <c r="N290" s="95" t="s">
        <v>69</v>
      </c>
      <c r="O290" s="95" t="s">
        <v>81</v>
      </c>
      <c r="P290" s="95" t="s">
        <v>81</v>
      </c>
      <c r="Q290" s="96" t="s">
        <v>69</v>
      </c>
      <c r="R290" s="11" t="s">
        <v>1283</v>
      </c>
      <c r="S290" s="11" t="s">
        <v>249</v>
      </c>
      <c r="T290" s="97"/>
    </row>
    <row r="291" spans="1:21" ht="72.5" x14ac:dyDescent="0.35">
      <c r="A291" s="56" t="s">
        <v>31</v>
      </c>
      <c r="B291" s="59" t="s">
        <v>1241</v>
      </c>
      <c r="C291" s="91" t="s">
        <v>3</v>
      </c>
      <c r="D291" s="21" t="s">
        <v>1152</v>
      </c>
      <c r="E291" s="82" t="s">
        <v>1143</v>
      </c>
      <c r="F291" s="23" t="s">
        <v>1487</v>
      </c>
      <c r="G291" s="23" t="s">
        <v>5</v>
      </c>
      <c r="H291" s="94" t="s">
        <v>267</v>
      </c>
      <c r="I291" s="93"/>
      <c r="J291" s="93"/>
      <c r="K291" s="93"/>
      <c r="L291" s="93"/>
      <c r="M291" s="95" t="s">
        <v>81</v>
      </c>
      <c r="N291" s="95" t="s">
        <v>1150</v>
      </c>
      <c r="O291" s="95" t="s">
        <v>81</v>
      </c>
      <c r="P291" s="95" t="s">
        <v>258</v>
      </c>
      <c r="Q291" s="96" t="s">
        <v>69</v>
      </c>
      <c r="R291" s="11" t="s">
        <v>1283</v>
      </c>
      <c r="S291" s="96"/>
      <c r="T291" s="97"/>
      <c r="U291" s="118" t="s">
        <v>1295</v>
      </c>
    </row>
    <row r="292" spans="1:21" ht="34.5" x14ac:dyDescent="0.35">
      <c r="A292" s="56" t="s">
        <v>31</v>
      </c>
      <c r="B292" s="59" t="s">
        <v>1241</v>
      </c>
      <c r="C292" s="91" t="s">
        <v>3</v>
      </c>
      <c r="D292" s="21" t="s">
        <v>1153</v>
      </c>
      <c r="E292" s="82" t="s">
        <v>1144</v>
      </c>
      <c r="F292" s="23" t="s">
        <v>1488</v>
      </c>
      <c r="G292" s="93" t="s">
        <v>5</v>
      </c>
      <c r="H292" s="94" t="s">
        <v>265</v>
      </c>
      <c r="I292" s="93"/>
      <c r="J292" s="93"/>
      <c r="K292" s="93"/>
      <c r="L292" s="93"/>
      <c r="M292" s="95" t="s">
        <v>81</v>
      </c>
      <c r="N292" s="95" t="s">
        <v>69</v>
      </c>
      <c r="O292" s="95" t="s">
        <v>81</v>
      </c>
      <c r="P292" s="95" t="s">
        <v>81</v>
      </c>
      <c r="Q292" s="96" t="s">
        <v>69</v>
      </c>
      <c r="R292" s="11" t="s">
        <v>1283</v>
      </c>
      <c r="S292" s="96"/>
      <c r="T292" s="97"/>
    </row>
    <row r="293" spans="1:21" ht="103.5" x14ac:dyDescent="0.35">
      <c r="A293" s="56" t="s">
        <v>31</v>
      </c>
      <c r="B293" s="59" t="s">
        <v>1241</v>
      </c>
      <c r="C293" s="16" t="s">
        <v>2</v>
      </c>
      <c r="D293" s="17" t="s">
        <v>188</v>
      </c>
      <c r="E293" s="18" t="s">
        <v>1489</v>
      </c>
      <c r="F293" s="19" t="s">
        <v>1707</v>
      </c>
      <c r="G293" s="19" t="s">
        <v>5</v>
      </c>
      <c r="H293" s="49" t="s">
        <v>265</v>
      </c>
      <c r="I293" s="19" t="s">
        <v>579</v>
      </c>
      <c r="J293" s="19" t="s">
        <v>578</v>
      </c>
      <c r="K293" s="19" t="s">
        <v>580</v>
      </c>
      <c r="L293" s="19" t="s">
        <v>581</v>
      </c>
      <c r="M293" s="10" t="s">
        <v>81</v>
      </c>
      <c r="N293" s="10" t="s">
        <v>179</v>
      </c>
      <c r="O293" s="10" t="s">
        <v>81</v>
      </c>
      <c r="P293" s="10" t="s">
        <v>779</v>
      </c>
      <c r="Q293" s="11" t="s">
        <v>69</v>
      </c>
      <c r="R293" s="11" t="s">
        <v>69</v>
      </c>
      <c r="S293" s="11" t="s">
        <v>1283</v>
      </c>
      <c r="T293" s="77"/>
    </row>
    <row r="294" spans="1:21" ht="80.5" x14ac:dyDescent="0.35">
      <c r="A294" s="56" t="s">
        <v>31</v>
      </c>
      <c r="B294" s="59" t="s">
        <v>1241</v>
      </c>
      <c r="C294" s="91" t="s">
        <v>3</v>
      </c>
      <c r="D294" s="21" t="s">
        <v>1165</v>
      </c>
      <c r="E294" s="82" t="s">
        <v>1154</v>
      </c>
      <c r="F294" s="23" t="s">
        <v>1631</v>
      </c>
      <c r="G294" s="93" t="s">
        <v>5</v>
      </c>
      <c r="H294" s="94" t="s">
        <v>264</v>
      </c>
      <c r="I294" s="93" t="s">
        <v>1156</v>
      </c>
      <c r="J294" s="93" t="s">
        <v>1157</v>
      </c>
      <c r="K294" s="93" t="s">
        <v>1158</v>
      </c>
      <c r="L294" s="93" t="s">
        <v>1159</v>
      </c>
      <c r="M294" s="95" t="s">
        <v>81</v>
      </c>
      <c r="N294" s="95" t="s">
        <v>69</v>
      </c>
      <c r="O294" s="95" t="s">
        <v>81</v>
      </c>
      <c r="P294" s="95" t="s">
        <v>81</v>
      </c>
      <c r="Q294" s="11" t="s">
        <v>1287</v>
      </c>
      <c r="R294" s="96" t="s">
        <v>69</v>
      </c>
      <c r="S294" s="96"/>
      <c r="T294" s="97"/>
    </row>
    <row r="295" spans="1:21" ht="46" x14ac:dyDescent="0.35">
      <c r="A295" s="56" t="s">
        <v>31</v>
      </c>
      <c r="B295" s="59" t="s">
        <v>1241</v>
      </c>
      <c r="C295" s="91" t="s">
        <v>3</v>
      </c>
      <c r="D295" s="21" t="s">
        <v>1166</v>
      </c>
      <c r="E295" s="22" t="s">
        <v>1490</v>
      </c>
      <c r="F295" s="23" t="s">
        <v>1491</v>
      </c>
      <c r="G295" s="93" t="s">
        <v>5</v>
      </c>
      <c r="H295" s="94" t="s">
        <v>264</v>
      </c>
      <c r="I295" s="93" t="s">
        <v>1160</v>
      </c>
      <c r="J295" s="93" t="s">
        <v>1161</v>
      </c>
      <c r="K295" s="93" t="s">
        <v>1162</v>
      </c>
      <c r="L295" s="93" t="s">
        <v>1163</v>
      </c>
      <c r="M295" s="95" t="s">
        <v>81</v>
      </c>
      <c r="N295" s="95" t="s">
        <v>69</v>
      </c>
      <c r="O295" s="95" t="s">
        <v>81</v>
      </c>
      <c r="P295" s="95" t="s">
        <v>81</v>
      </c>
      <c r="Q295" s="11" t="s">
        <v>1287</v>
      </c>
      <c r="R295" s="96" t="s">
        <v>69</v>
      </c>
      <c r="S295" s="96"/>
      <c r="T295" s="97"/>
    </row>
    <row r="296" spans="1:21" ht="46" x14ac:dyDescent="0.35">
      <c r="A296" s="56" t="s">
        <v>31</v>
      </c>
      <c r="B296" s="59" t="s">
        <v>1241</v>
      </c>
      <c r="C296" s="91" t="s">
        <v>3</v>
      </c>
      <c r="D296" s="21" t="s">
        <v>1167</v>
      </c>
      <c r="E296" s="22" t="s">
        <v>1492</v>
      </c>
      <c r="F296" s="23" t="s">
        <v>1524</v>
      </c>
      <c r="G296" s="93" t="s">
        <v>5</v>
      </c>
      <c r="H296" s="94" t="s">
        <v>264</v>
      </c>
      <c r="I296" s="93"/>
      <c r="J296" s="93"/>
      <c r="K296" s="93"/>
      <c r="L296" s="93"/>
      <c r="M296" s="95" t="s">
        <v>81</v>
      </c>
      <c r="N296" s="95" t="s">
        <v>69</v>
      </c>
      <c r="O296" s="95" t="s">
        <v>81</v>
      </c>
      <c r="P296" s="95" t="s">
        <v>81</v>
      </c>
      <c r="Q296" s="11" t="s">
        <v>1287</v>
      </c>
      <c r="R296" s="96" t="s">
        <v>69</v>
      </c>
      <c r="S296" s="96"/>
      <c r="T296" s="97"/>
    </row>
    <row r="297" spans="1:21" ht="34.5" x14ac:dyDescent="0.35">
      <c r="A297" s="56" t="s">
        <v>31</v>
      </c>
      <c r="B297" s="59" t="s">
        <v>1241</v>
      </c>
      <c r="C297" s="91" t="s">
        <v>3</v>
      </c>
      <c r="D297" s="21" t="s">
        <v>1446</v>
      </c>
      <c r="E297" s="22" t="s">
        <v>1494</v>
      </c>
      <c r="F297" s="23" t="s">
        <v>1493</v>
      </c>
      <c r="G297" s="93" t="s">
        <v>5</v>
      </c>
      <c r="H297" s="50" t="s">
        <v>267</v>
      </c>
      <c r="I297" s="93"/>
      <c r="J297" s="93"/>
      <c r="K297" s="93"/>
      <c r="L297" s="93"/>
      <c r="M297" s="95" t="s">
        <v>81</v>
      </c>
      <c r="N297" s="95" t="s">
        <v>69</v>
      </c>
      <c r="O297" s="95" t="s">
        <v>81</v>
      </c>
      <c r="P297" s="95" t="s">
        <v>81</v>
      </c>
      <c r="Q297" s="96" t="s">
        <v>69</v>
      </c>
      <c r="R297" s="96" t="s">
        <v>69</v>
      </c>
      <c r="S297" s="11" t="s">
        <v>1283</v>
      </c>
      <c r="T297" s="97"/>
    </row>
    <row r="298" spans="1:21" ht="34.5" x14ac:dyDescent="0.35">
      <c r="A298" s="56" t="s">
        <v>31</v>
      </c>
      <c r="B298" s="59" t="s">
        <v>1241</v>
      </c>
      <c r="C298" s="91" t="s">
        <v>3</v>
      </c>
      <c r="D298" s="21" t="s">
        <v>1447</v>
      </c>
      <c r="E298" s="22" t="s">
        <v>1495</v>
      </c>
      <c r="F298" s="23" t="s">
        <v>1525</v>
      </c>
      <c r="G298" s="93" t="s">
        <v>5</v>
      </c>
      <c r="H298" s="94" t="s">
        <v>264</v>
      </c>
      <c r="I298" s="93"/>
      <c r="J298" s="93"/>
      <c r="K298" s="93"/>
      <c r="L298" s="93"/>
      <c r="M298" s="95" t="s">
        <v>81</v>
      </c>
      <c r="N298" s="95" t="s">
        <v>69</v>
      </c>
      <c r="O298" s="95" t="s">
        <v>81</v>
      </c>
      <c r="P298" s="95" t="s">
        <v>81</v>
      </c>
      <c r="Q298" s="11" t="s">
        <v>1287</v>
      </c>
      <c r="R298" s="96" t="s">
        <v>69</v>
      </c>
      <c r="S298" s="96"/>
      <c r="T298" s="97"/>
    </row>
    <row r="299" spans="1:21" ht="34.5" x14ac:dyDescent="0.35">
      <c r="A299" s="56" t="s">
        <v>31</v>
      </c>
      <c r="B299" s="59" t="s">
        <v>1241</v>
      </c>
      <c r="C299" s="91" t="s">
        <v>3</v>
      </c>
      <c r="D299" s="21" t="s">
        <v>1448</v>
      </c>
      <c r="E299" s="22" t="s">
        <v>1526</v>
      </c>
      <c r="F299" s="23" t="s">
        <v>1527</v>
      </c>
      <c r="G299" s="93" t="s">
        <v>5</v>
      </c>
      <c r="H299" s="50" t="s">
        <v>267</v>
      </c>
      <c r="I299" s="93"/>
      <c r="J299" s="93"/>
      <c r="K299" s="93"/>
      <c r="L299" s="93"/>
      <c r="M299" s="95"/>
      <c r="N299" s="95"/>
      <c r="O299" s="95"/>
      <c r="P299" s="95"/>
      <c r="Q299" s="96" t="s">
        <v>69</v>
      </c>
      <c r="R299" s="96" t="s">
        <v>69</v>
      </c>
      <c r="S299" s="11" t="s">
        <v>1283</v>
      </c>
      <c r="T299" s="97"/>
    </row>
    <row r="300" spans="1:21" ht="34.5" x14ac:dyDescent="0.35">
      <c r="A300" s="56"/>
      <c r="B300" s="59" t="s">
        <v>1628</v>
      </c>
      <c r="C300" s="91" t="s">
        <v>3</v>
      </c>
      <c r="D300" s="21" t="s">
        <v>1449</v>
      </c>
      <c r="E300" s="22" t="s">
        <v>1528</v>
      </c>
      <c r="F300" s="23" t="s">
        <v>1632</v>
      </c>
      <c r="G300" s="93" t="s">
        <v>5</v>
      </c>
      <c r="H300" s="94" t="s">
        <v>264</v>
      </c>
      <c r="I300" s="93"/>
      <c r="J300" s="93"/>
      <c r="K300" s="93"/>
      <c r="L300" s="93"/>
      <c r="M300" s="95" t="s">
        <v>81</v>
      </c>
      <c r="N300" s="95" t="s">
        <v>69</v>
      </c>
      <c r="O300" s="95" t="s">
        <v>81</v>
      </c>
      <c r="P300" s="95" t="s">
        <v>81</v>
      </c>
      <c r="Q300" s="11" t="s">
        <v>1717</v>
      </c>
      <c r="R300" s="96" t="s">
        <v>69</v>
      </c>
      <c r="S300" s="96"/>
      <c r="T300" s="97"/>
    </row>
    <row r="301" spans="1:21" ht="80.5" x14ac:dyDescent="0.35">
      <c r="A301" s="56" t="s">
        <v>31</v>
      </c>
      <c r="B301" s="59" t="s">
        <v>1241</v>
      </c>
      <c r="C301" s="91" t="s">
        <v>3</v>
      </c>
      <c r="D301" s="21" t="s">
        <v>1450</v>
      </c>
      <c r="E301" s="22" t="s">
        <v>1496</v>
      </c>
      <c r="F301" s="23" t="s">
        <v>1529</v>
      </c>
      <c r="G301" s="93" t="s">
        <v>5</v>
      </c>
      <c r="H301" s="94" t="s">
        <v>264</v>
      </c>
      <c r="I301" s="93"/>
      <c r="J301" s="93"/>
      <c r="K301" s="93"/>
      <c r="L301" s="93"/>
      <c r="M301" s="95" t="s">
        <v>81</v>
      </c>
      <c r="N301" s="95" t="s">
        <v>69</v>
      </c>
      <c r="O301" s="95" t="s">
        <v>81</v>
      </c>
      <c r="P301" s="95" t="s">
        <v>81</v>
      </c>
      <c r="Q301" s="11" t="s">
        <v>1287</v>
      </c>
      <c r="R301" s="96" t="s">
        <v>69</v>
      </c>
      <c r="S301" s="96"/>
      <c r="T301" s="97"/>
    </row>
    <row r="302" spans="1:21" ht="92" x14ac:dyDescent="0.35">
      <c r="A302" s="56" t="s">
        <v>31</v>
      </c>
      <c r="B302" s="90" t="s">
        <v>1155</v>
      </c>
      <c r="C302" s="91" t="s">
        <v>3</v>
      </c>
      <c r="D302" s="21" t="s">
        <v>1451</v>
      </c>
      <c r="E302" s="22" t="s">
        <v>1497</v>
      </c>
      <c r="F302" s="23" t="s">
        <v>1531</v>
      </c>
      <c r="G302" s="93" t="s">
        <v>5</v>
      </c>
      <c r="H302" s="94" t="s">
        <v>267</v>
      </c>
      <c r="I302" s="93" t="s">
        <v>1173</v>
      </c>
      <c r="J302" s="93" t="s">
        <v>1174</v>
      </c>
      <c r="K302" s="93" t="s">
        <v>1175</v>
      </c>
      <c r="L302" s="93" t="s">
        <v>1176</v>
      </c>
      <c r="M302" s="95" t="s">
        <v>81</v>
      </c>
      <c r="N302" s="95" t="s">
        <v>69</v>
      </c>
      <c r="O302" s="95" t="s">
        <v>81</v>
      </c>
      <c r="P302" s="95" t="s">
        <v>106</v>
      </c>
      <c r="Q302" s="96" t="s">
        <v>69</v>
      </c>
      <c r="R302" s="11" t="s">
        <v>1283</v>
      </c>
      <c r="S302" s="11"/>
      <c r="T302" s="97"/>
      <c r="U302" s="152" t="s">
        <v>1296</v>
      </c>
    </row>
    <row r="303" spans="1:21" ht="57.5" x14ac:dyDescent="0.35">
      <c r="A303" s="56" t="s">
        <v>31</v>
      </c>
      <c r="B303" s="90" t="s">
        <v>1155</v>
      </c>
      <c r="C303" s="91" t="s">
        <v>3</v>
      </c>
      <c r="D303" s="21" t="s">
        <v>1452</v>
      </c>
      <c r="E303" s="22" t="s">
        <v>1498</v>
      </c>
      <c r="F303" s="23" t="s">
        <v>1633</v>
      </c>
      <c r="G303" s="93" t="s">
        <v>5</v>
      </c>
      <c r="H303" s="94" t="s">
        <v>267</v>
      </c>
      <c r="I303" s="93"/>
      <c r="J303" s="23" t="s">
        <v>1267</v>
      </c>
      <c r="K303" s="93"/>
      <c r="L303" s="93"/>
      <c r="M303" s="95" t="s">
        <v>81</v>
      </c>
      <c r="N303" s="95" t="s">
        <v>69</v>
      </c>
      <c r="O303" s="95" t="s">
        <v>81</v>
      </c>
      <c r="P303" s="95" t="s">
        <v>106</v>
      </c>
      <c r="Q303" s="96" t="s">
        <v>69</v>
      </c>
      <c r="R303" s="11" t="s">
        <v>1283</v>
      </c>
      <c r="S303" s="11" t="s">
        <v>1283</v>
      </c>
      <c r="T303" s="97"/>
    </row>
    <row r="304" spans="1:21" ht="46" x14ac:dyDescent="0.35">
      <c r="A304" s="56" t="s">
        <v>31</v>
      </c>
      <c r="B304" s="90" t="s">
        <v>1155</v>
      </c>
      <c r="C304" s="91" t="s">
        <v>3</v>
      </c>
      <c r="D304" s="21" t="s">
        <v>1530</v>
      </c>
      <c r="E304" s="82" t="s">
        <v>1164</v>
      </c>
      <c r="F304" s="23" t="s">
        <v>1671</v>
      </c>
      <c r="G304" s="93" t="s">
        <v>5</v>
      </c>
      <c r="H304" s="94" t="s">
        <v>267</v>
      </c>
      <c r="I304" s="93"/>
      <c r="J304" s="93"/>
      <c r="K304" s="93"/>
      <c r="L304" s="93"/>
      <c r="M304" s="95" t="s">
        <v>81</v>
      </c>
      <c r="N304" s="95" t="s">
        <v>69</v>
      </c>
      <c r="O304" s="95" t="s">
        <v>81</v>
      </c>
      <c r="P304" s="95" t="s">
        <v>81</v>
      </c>
      <c r="Q304" s="96" t="s">
        <v>69</v>
      </c>
      <c r="R304" s="11" t="s">
        <v>1283</v>
      </c>
      <c r="S304" s="11"/>
      <c r="T304" s="97"/>
    </row>
    <row r="305" spans="1:23" ht="57.5" x14ac:dyDescent="0.35">
      <c r="A305" s="56" t="s">
        <v>31</v>
      </c>
      <c r="B305" s="59" t="s">
        <v>1155</v>
      </c>
      <c r="C305" s="91" t="s">
        <v>3</v>
      </c>
      <c r="D305" s="21" t="s">
        <v>1650</v>
      </c>
      <c r="E305" s="22" t="s">
        <v>1499</v>
      </c>
      <c r="F305" s="23" t="s">
        <v>1532</v>
      </c>
      <c r="G305" s="93" t="s">
        <v>5</v>
      </c>
      <c r="H305" s="50" t="s">
        <v>265</v>
      </c>
      <c r="I305" s="93"/>
      <c r="J305" s="93"/>
      <c r="K305" s="93"/>
      <c r="L305" s="93"/>
      <c r="M305" s="95"/>
      <c r="N305" s="95"/>
      <c r="O305" s="95"/>
      <c r="P305" s="95"/>
      <c r="Q305" s="11" t="s">
        <v>69</v>
      </c>
      <c r="R305" s="96" t="s">
        <v>69</v>
      </c>
      <c r="S305" s="11" t="s">
        <v>1283</v>
      </c>
      <c r="T305" s="97"/>
    </row>
    <row r="306" spans="1:23" ht="57.5" x14ac:dyDescent="0.35">
      <c r="A306" s="56" t="s">
        <v>31</v>
      </c>
      <c r="B306" s="59" t="s">
        <v>1155</v>
      </c>
      <c r="C306" s="91" t="s">
        <v>3</v>
      </c>
      <c r="D306" s="21" t="s">
        <v>1651</v>
      </c>
      <c r="E306" s="22" t="s">
        <v>1549</v>
      </c>
      <c r="F306" s="23" t="s">
        <v>1550</v>
      </c>
      <c r="G306" s="93" t="str">
        <f>"Decision 
If yes, proceed to step "&amp;D344&amp;" 
If no, proceed to "&amp;D330&amp;""</f>
        <v>Decision 
If yes, proceed to step 5.3.4.3 
If no, proceed to 5.3.2.1</v>
      </c>
      <c r="H306" s="50" t="s">
        <v>265</v>
      </c>
      <c r="I306" s="93"/>
      <c r="J306" s="93"/>
      <c r="K306" s="93"/>
      <c r="L306" s="93"/>
      <c r="M306" s="95"/>
      <c r="N306" s="95"/>
      <c r="O306" s="95"/>
      <c r="P306" s="95"/>
      <c r="Q306" s="11" t="s">
        <v>69</v>
      </c>
      <c r="R306" s="96" t="s">
        <v>69</v>
      </c>
      <c r="S306" s="11" t="s">
        <v>1283</v>
      </c>
      <c r="T306" s="97"/>
    </row>
    <row r="307" spans="1:23" ht="23" x14ac:dyDescent="0.35">
      <c r="A307" s="56" t="s">
        <v>31</v>
      </c>
      <c r="B307" s="59" t="s">
        <v>1155</v>
      </c>
      <c r="C307" s="91" t="s">
        <v>3</v>
      </c>
      <c r="D307" s="21" t="s">
        <v>1652</v>
      </c>
      <c r="E307" s="22" t="s">
        <v>1653</v>
      </c>
      <c r="F307" s="23" t="s">
        <v>2199</v>
      </c>
      <c r="G307" s="93" t="s">
        <v>5</v>
      </c>
      <c r="H307" s="50" t="s">
        <v>264</v>
      </c>
      <c r="I307" s="93"/>
      <c r="J307" s="93"/>
      <c r="K307" s="93"/>
      <c r="L307" s="93"/>
      <c r="M307" s="95"/>
      <c r="N307" s="95"/>
      <c r="O307" s="95"/>
      <c r="P307" s="95"/>
      <c r="Q307" s="11" t="s">
        <v>1287</v>
      </c>
      <c r="R307" s="96" t="s">
        <v>69</v>
      </c>
      <c r="S307" s="96"/>
      <c r="T307" s="97"/>
    </row>
    <row r="308" spans="1:23" ht="57.5" x14ac:dyDescent="0.35">
      <c r="A308" s="56" t="s">
        <v>31</v>
      </c>
      <c r="B308" s="59" t="s">
        <v>1155</v>
      </c>
      <c r="C308" s="91" t="s">
        <v>3</v>
      </c>
      <c r="D308" s="21" t="s">
        <v>2212</v>
      </c>
      <c r="E308" s="22" t="s">
        <v>2214</v>
      </c>
      <c r="F308" s="23" t="s">
        <v>2213</v>
      </c>
      <c r="G308" s="93" t="s">
        <v>5</v>
      </c>
      <c r="H308" s="50" t="s">
        <v>265</v>
      </c>
      <c r="I308" s="93"/>
      <c r="J308" s="93"/>
      <c r="K308" s="93"/>
      <c r="L308" s="93"/>
      <c r="M308" s="95"/>
      <c r="N308" s="95"/>
      <c r="O308" s="95"/>
      <c r="P308" s="95"/>
      <c r="Q308" s="11" t="s">
        <v>69</v>
      </c>
      <c r="R308" s="96" t="s">
        <v>69</v>
      </c>
      <c r="S308" s="96" t="s">
        <v>1283</v>
      </c>
      <c r="T308" s="97"/>
    </row>
    <row r="309" spans="1:23" ht="101.5" x14ac:dyDescent="0.35">
      <c r="A309" s="56" t="s">
        <v>31</v>
      </c>
      <c r="B309" s="59" t="s">
        <v>1155</v>
      </c>
      <c r="C309" s="16" t="s">
        <v>2</v>
      </c>
      <c r="D309" s="17" t="s">
        <v>190</v>
      </c>
      <c r="E309" s="18" t="s">
        <v>1500</v>
      </c>
      <c r="F309" s="52" t="s">
        <v>1654</v>
      </c>
      <c r="G309" s="19" t="s">
        <v>5</v>
      </c>
      <c r="H309" s="49" t="s">
        <v>265</v>
      </c>
      <c r="I309" s="26" t="s">
        <v>81</v>
      </c>
      <c r="J309" s="26" t="s">
        <v>179</v>
      </c>
      <c r="K309" s="26" t="s">
        <v>81</v>
      </c>
      <c r="L309" s="26" t="s">
        <v>770</v>
      </c>
      <c r="M309" s="10" t="s">
        <v>81</v>
      </c>
      <c r="N309" s="10" t="s">
        <v>179</v>
      </c>
      <c r="O309" s="10" t="s">
        <v>81</v>
      </c>
      <c r="P309" s="10" t="s">
        <v>770</v>
      </c>
      <c r="Q309" s="11" t="s">
        <v>249</v>
      </c>
      <c r="R309" s="11" t="s">
        <v>249</v>
      </c>
      <c r="S309" s="11"/>
      <c r="T309" s="77"/>
      <c r="U309" s="153" t="s">
        <v>1297</v>
      </c>
      <c r="W309" s="53" t="s">
        <v>1242</v>
      </c>
    </row>
    <row r="310" spans="1:23" ht="23" x14ac:dyDescent="0.35">
      <c r="A310" s="56" t="s">
        <v>31</v>
      </c>
      <c r="B310" s="90" t="s">
        <v>1155</v>
      </c>
      <c r="C310" s="91" t="s">
        <v>3</v>
      </c>
      <c r="D310" s="21" t="s">
        <v>1181</v>
      </c>
      <c r="E310" s="82" t="s">
        <v>1183</v>
      </c>
      <c r="F310" s="23" t="s">
        <v>1655</v>
      </c>
      <c r="G310" s="93" t="s">
        <v>5</v>
      </c>
      <c r="H310" s="50" t="s">
        <v>264</v>
      </c>
      <c r="I310" s="93" t="s">
        <v>81</v>
      </c>
      <c r="J310" s="93" t="s">
        <v>179</v>
      </c>
      <c r="K310" s="93" t="s">
        <v>81</v>
      </c>
      <c r="L310" s="93" t="s">
        <v>770</v>
      </c>
      <c r="M310" s="95"/>
      <c r="N310" s="95"/>
      <c r="O310" s="95"/>
      <c r="P310" s="95"/>
      <c r="Q310" s="11" t="s">
        <v>1287</v>
      </c>
      <c r="R310" s="96" t="s">
        <v>69</v>
      </c>
      <c r="S310" s="96"/>
      <c r="T310" s="97"/>
    </row>
    <row r="311" spans="1:23" ht="46" x14ac:dyDescent="0.35">
      <c r="A311" s="56" t="s">
        <v>31</v>
      </c>
      <c r="B311" s="90" t="s">
        <v>1155</v>
      </c>
      <c r="C311" s="91" t="s">
        <v>3</v>
      </c>
      <c r="D311" s="21" t="s">
        <v>1182</v>
      </c>
      <c r="E311" s="22" t="s">
        <v>1501</v>
      </c>
      <c r="F311" s="54" t="s">
        <v>1710</v>
      </c>
      <c r="G311" s="93" t="s">
        <v>5</v>
      </c>
      <c r="H311" s="94" t="s">
        <v>267</v>
      </c>
      <c r="I311" s="93"/>
      <c r="J311" s="93"/>
      <c r="K311" s="93"/>
      <c r="L311" s="93"/>
      <c r="M311" s="95"/>
      <c r="N311" s="95"/>
      <c r="O311" s="95"/>
      <c r="P311" s="95"/>
      <c r="Q311" s="11" t="s">
        <v>249</v>
      </c>
      <c r="R311" s="11" t="s">
        <v>249</v>
      </c>
      <c r="S311" s="96"/>
      <c r="T311" s="97"/>
    </row>
    <row r="312" spans="1:23" ht="57.5" x14ac:dyDescent="0.35">
      <c r="A312" s="56" t="s">
        <v>31</v>
      </c>
      <c r="B312" s="90" t="s">
        <v>1145</v>
      </c>
      <c r="C312" s="91" t="s">
        <v>3</v>
      </c>
      <c r="D312" s="21" t="s">
        <v>1184</v>
      </c>
      <c r="E312" s="22" t="s">
        <v>1656</v>
      </c>
      <c r="F312" s="23" t="s">
        <v>1709</v>
      </c>
      <c r="G312" s="93" t="str">
        <f>"Decision 
If yes, proceed to step "&amp;D313&amp;" 
If no, proceed to "&amp;D294&amp;""</f>
        <v>Decision 
If yes, proceed to step 5.2 
If no, proceed to 5.1.6.1</v>
      </c>
      <c r="H312" s="94" t="s">
        <v>267</v>
      </c>
      <c r="I312" s="93" t="s">
        <v>81</v>
      </c>
      <c r="J312" s="93" t="s">
        <v>179</v>
      </c>
      <c r="K312" s="93" t="s">
        <v>81</v>
      </c>
      <c r="L312" s="93" t="s">
        <v>770</v>
      </c>
      <c r="M312" s="95"/>
      <c r="N312" s="95"/>
      <c r="O312" s="95"/>
      <c r="P312" s="95"/>
      <c r="Q312" s="11" t="s">
        <v>249</v>
      </c>
      <c r="R312" s="11" t="s">
        <v>249</v>
      </c>
      <c r="S312" s="96"/>
      <c r="T312" s="97"/>
    </row>
    <row r="313" spans="1:23" ht="80.5" x14ac:dyDescent="0.35">
      <c r="A313" s="56"/>
      <c r="B313" s="59" t="s">
        <v>1666</v>
      </c>
      <c r="C313" s="12" t="s">
        <v>1</v>
      </c>
      <c r="D313" s="13" t="s">
        <v>191</v>
      </c>
      <c r="E313" s="14" t="s">
        <v>192</v>
      </c>
      <c r="F313" s="15" t="s">
        <v>1657</v>
      </c>
      <c r="G313" s="15" t="s">
        <v>5</v>
      </c>
      <c r="H313" s="98" t="s">
        <v>265</v>
      </c>
      <c r="I313" s="15" t="s">
        <v>587</v>
      </c>
      <c r="J313" s="15" t="s">
        <v>586</v>
      </c>
      <c r="K313" s="15" t="s">
        <v>588</v>
      </c>
      <c r="L313" s="15" t="s">
        <v>589</v>
      </c>
      <c r="M313" s="10" t="s">
        <v>26</v>
      </c>
      <c r="N313" s="10" t="s">
        <v>26</v>
      </c>
      <c r="O313" s="10" t="s">
        <v>26</v>
      </c>
      <c r="P313" s="10" t="s">
        <v>26</v>
      </c>
      <c r="Q313" s="11" t="s">
        <v>69</v>
      </c>
      <c r="R313" s="33" t="s">
        <v>69</v>
      </c>
      <c r="S313" s="11" t="s">
        <v>1283</v>
      </c>
      <c r="T313" s="77"/>
      <c r="U313" s="113" t="s">
        <v>1292</v>
      </c>
    </row>
    <row r="314" spans="1:23" ht="34.5" x14ac:dyDescent="0.35">
      <c r="A314" s="56"/>
      <c r="B314" s="59" t="s">
        <v>1666</v>
      </c>
      <c r="C314" s="16" t="s">
        <v>2</v>
      </c>
      <c r="D314" s="17" t="s">
        <v>195</v>
      </c>
      <c r="E314" s="18" t="s">
        <v>1658</v>
      </c>
      <c r="F314" s="19" t="s">
        <v>1659</v>
      </c>
      <c r="G314" s="19" t="s">
        <v>5</v>
      </c>
      <c r="H314" s="49" t="s">
        <v>265</v>
      </c>
      <c r="I314" s="26"/>
      <c r="J314" s="26"/>
      <c r="K314" s="26"/>
      <c r="L314" s="26"/>
      <c r="M314" s="10" t="s">
        <v>26</v>
      </c>
      <c r="N314" s="10" t="s">
        <v>26</v>
      </c>
      <c r="O314" s="10" t="s">
        <v>26</v>
      </c>
      <c r="P314" s="10" t="s">
        <v>26</v>
      </c>
      <c r="Q314" s="11" t="s">
        <v>69</v>
      </c>
      <c r="R314" s="96" t="s">
        <v>69</v>
      </c>
      <c r="S314" s="11" t="s">
        <v>1283</v>
      </c>
      <c r="T314" s="77"/>
    </row>
    <row r="315" spans="1:23" ht="46" x14ac:dyDescent="0.35">
      <c r="A315" s="56"/>
      <c r="B315" s="59" t="s">
        <v>1666</v>
      </c>
      <c r="C315" s="91" t="s">
        <v>3</v>
      </c>
      <c r="D315" s="92" t="s">
        <v>1185</v>
      </c>
      <c r="E315" s="22" t="s">
        <v>1661</v>
      </c>
      <c r="F315" s="23" t="s">
        <v>1662</v>
      </c>
      <c r="G315" s="93" t="str">
        <f>"Decision 
If yes, proceed to step "&amp;D316&amp;" 
If no, proceed to "&amp;D325&amp;""</f>
        <v>Decision 
If yes, proceed to step 5.2.1.2 
If no, proceed to 5.3</v>
      </c>
      <c r="H315" s="50" t="s">
        <v>267</v>
      </c>
      <c r="I315" s="93"/>
      <c r="J315" s="93"/>
      <c r="K315" s="93"/>
      <c r="L315" s="93"/>
      <c r="M315" s="95"/>
      <c r="N315" s="95"/>
      <c r="O315" s="95"/>
      <c r="P315" s="95"/>
      <c r="Q315" s="11" t="s">
        <v>69</v>
      </c>
      <c r="R315" s="96" t="s">
        <v>69</v>
      </c>
      <c r="S315" s="11" t="s">
        <v>1283</v>
      </c>
      <c r="T315" s="97"/>
    </row>
    <row r="316" spans="1:23" ht="69" x14ac:dyDescent="0.35">
      <c r="A316" s="56"/>
      <c r="B316" s="59" t="s">
        <v>1666</v>
      </c>
      <c r="C316" s="91" t="s">
        <v>3</v>
      </c>
      <c r="D316" s="92" t="s">
        <v>1186</v>
      </c>
      <c r="E316" s="22" t="s">
        <v>1663</v>
      </c>
      <c r="F316" s="23" t="s">
        <v>1664</v>
      </c>
      <c r="G316" s="93" t="s">
        <v>5</v>
      </c>
      <c r="H316" s="50" t="s">
        <v>267</v>
      </c>
      <c r="I316" s="93" t="s">
        <v>1187</v>
      </c>
      <c r="J316" s="93" t="s">
        <v>1188</v>
      </c>
      <c r="K316" s="93" t="s">
        <v>1189</v>
      </c>
      <c r="L316" s="93" t="s">
        <v>1190</v>
      </c>
      <c r="M316" s="95" t="s">
        <v>26</v>
      </c>
      <c r="N316" s="95" t="s">
        <v>26</v>
      </c>
      <c r="O316" s="95" t="s">
        <v>26</v>
      </c>
      <c r="P316" s="95" t="s">
        <v>26</v>
      </c>
      <c r="Q316" s="11" t="s">
        <v>69</v>
      </c>
      <c r="R316" s="96" t="s">
        <v>69</v>
      </c>
      <c r="S316" s="11" t="s">
        <v>1283</v>
      </c>
      <c r="T316" s="97"/>
    </row>
    <row r="317" spans="1:23" ht="57.5" x14ac:dyDescent="0.35">
      <c r="A317" s="56"/>
      <c r="B317" s="59" t="s">
        <v>1666</v>
      </c>
      <c r="C317" s="91" t="s">
        <v>3</v>
      </c>
      <c r="D317" s="21" t="s">
        <v>1660</v>
      </c>
      <c r="E317" s="22" t="s">
        <v>1711</v>
      </c>
      <c r="F317" s="23" t="s">
        <v>1665</v>
      </c>
      <c r="G317" s="93" t="s">
        <v>5</v>
      </c>
      <c r="H317" s="94" t="s">
        <v>265</v>
      </c>
      <c r="I317" s="93" t="s">
        <v>1191</v>
      </c>
      <c r="J317" s="93" t="s">
        <v>1192</v>
      </c>
      <c r="K317" s="93" t="s">
        <v>1193</v>
      </c>
      <c r="L317" s="93" t="s">
        <v>1194</v>
      </c>
      <c r="M317" s="95" t="s">
        <v>26</v>
      </c>
      <c r="N317" s="95" t="s">
        <v>26</v>
      </c>
      <c r="O317" s="95" t="s">
        <v>26</v>
      </c>
      <c r="P317" s="95" t="s">
        <v>26</v>
      </c>
      <c r="Q317" s="11" t="s">
        <v>69</v>
      </c>
      <c r="R317" s="96" t="s">
        <v>69</v>
      </c>
      <c r="S317" s="11" t="s">
        <v>1283</v>
      </c>
      <c r="T317" s="97"/>
    </row>
    <row r="318" spans="1:23" ht="46" x14ac:dyDescent="0.35">
      <c r="A318" s="56"/>
      <c r="B318" s="59" t="s">
        <v>1666</v>
      </c>
      <c r="C318" s="16" t="s">
        <v>2</v>
      </c>
      <c r="D318" s="17" t="s">
        <v>196</v>
      </c>
      <c r="E318" s="18" t="s">
        <v>2216</v>
      </c>
      <c r="F318" s="19" t="s">
        <v>1533</v>
      </c>
      <c r="G318" s="19" t="str">
        <f>"Decision 
If yes, proceed to step "&amp;D319&amp;" 
If no, proceed to "&amp;D324&amp;""</f>
        <v>Decision 
If yes, proceed to step 5.2.3 
If no, proceed to 5.2.4</v>
      </c>
      <c r="H318" s="49" t="s">
        <v>267</v>
      </c>
      <c r="I318" s="26"/>
      <c r="J318" s="26"/>
      <c r="K318" s="26"/>
      <c r="L318" s="26"/>
      <c r="M318" s="10" t="s">
        <v>26</v>
      </c>
      <c r="N318" s="10" t="s">
        <v>26</v>
      </c>
      <c r="O318" s="10" t="s">
        <v>26</v>
      </c>
      <c r="P318" s="10" t="s">
        <v>26</v>
      </c>
      <c r="Q318" s="11" t="s">
        <v>69</v>
      </c>
      <c r="R318" s="96" t="s">
        <v>69</v>
      </c>
      <c r="S318" s="11" t="s">
        <v>1283</v>
      </c>
      <c r="T318" s="77"/>
    </row>
    <row r="319" spans="1:23" ht="34.5" x14ac:dyDescent="0.35">
      <c r="A319" s="56"/>
      <c r="B319" s="59" t="s">
        <v>1666</v>
      </c>
      <c r="C319" s="16" t="s">
        <v>2</v>
      </c>
      <c r="D319" s="17" t="s">
        <v>197</v>
      </c>
      <c r="E319" s="25" t="s">
        <v>2217</v>
      </c>
      <c r="F319" s="19" t="s">
        <v>1715</v>
      </c>
      <c r="G319" s="19" t="s">
        <v>5</v>
      </c>
      <c r="H319" s="49" t="s">
        <v>267</v>
      </c>
      <c r="I319" s="26"/>
      <c r="J319" s="26"/>
      <c r="K319" s="26"/>
      <c r="L319" s="26"/>
      <c r="M319" s="10" t="s">
        <v>26</v>
      </c>
      <c r="N319" s="10" t="s">
        <v>26</v>
      </c>
      <c r="O319" s="10" t="s">
        <v>26</v>
      </c>
      <c r="P319" s="10" t="s">
        <v>26</v>
      </c>
      <c r="Q319" s="11" t="s">
        <v>69</v>
      </c>
      <c r="R319" s="11" t="s">
        <v>69</v>
      </c>
      <c r="S319" s="11" t="s">
        <v>1283</v>
      </c>
      <c r="T319" s="77"/>
    </row>
    <row r="320" spans="1:23" ht="23" x14ac:dyDescent="0.35">
      <c r="A320" s="56"/>
      <c r="B320" s="59" t="s">
        <v>1666</v>
      </c>
      <c r="C320" s="91" t="s">
        <v>3</v>
      </c>
      <c r="D320" s="92" t="s">
        <v>1195</v>
      </c>
      <c r="E320" s="82" t="s">
        <v>1196</v>
      </c>
      <c r="F320" s="23" t="s">
        <v>1534</v>
      </c>
      <c r="G320" s="93" t="s">
        <v>5</v>
      </c>
      <c r="H320" s="94" t="s">
        <v>267</v>
      </c>
      <c r="I320" s="93"/>
      <c r="J320" s="93"/>
      <c r="K320" s="93"/>
      <c r="L320" s="93"/>
      <c r="M320" s="95" t="s">
        <v>26</v>
      </c>
      <c r="N320" s="95" t="s">
        <v>26</v>
      </c>
      <c r="O320" s="95" t="s">
        <v>26</v>
      </c>
      <c r="P320" s="95" t="s">
        <v>26</v>
      </c>
      <c r="Q320" s="96" t="s">
        <v>69</v>
      </c>
      <c r="R320" s="96" t="s">
        <v>69</v>
      </c>
      <c r="S320" s="11" t="s">
        <v>1283</v>
      </c>
      <c r="T320" s="97"/>
    </row>
    <row r="321" spans="1:21" ht="46" x14ac:dyDescent="0.35">
      <c r="A321" s="56"/>
      <c r="B321" s="59" t="s">
        <v>1666</v>
      </c>
      <c r="C321" s="91" t="s">
        <v>3</v>
      </c>
      <c r="D321" s="92" t="s">
        <v>1197</v>
      </c>
      <c r="E321" s="22" t="s">
        <v>1535</v>
      </c>
      <c r="F321" s="23" t="s">
        <v>1714</v>
      </c>
      <c r="G321" s="93" t="s">
        <v>5</v>
      </c>
      <c r="H321" s="94" t="s">
        <v>267</v>
      </c>
      <c r="I321" s="93"/>
      <c r="J321" s="93"/>
      <c r="K321" s="93"/>
      <c r="L321" s="93"/>
      <c r="M321" s="95" t="s">
        <v>26</v>
      </c>
      <c r="N321" s="95" t="s">
        <v>26</v>
      </c>
      <c r="O321" s="95" t="s">
        <v>26</v>
      </c>
      <c r="P321" s="95" t="s">
        <v>26</v>
      </c>
      <c r="Q321" s="96" t="s">
        <v>69</v>
      </c>
      <c r="R321" s="96" t="s">
        <v>69</v>
      </c>
      <c r="S321" s="11" t="s">
        <v>1283</v>
      </c>
      <c r="T321" s="97"/>
    </row>
    <row r="322" spans="1:21" ht="34.5" x14ac:dyDescent="0.35">
      <c r="A322" s="56"/>
      <c r="B322" s="59" t="s">
        <v>1666</v>
      </c>
      <c r="C322" s="142" t="s">
        <v>3</v>
      </c>
      <c r="D322" s="143" t="s">
        <v>1198</v>
      </c>
      <c r="E322" s="22" t="s">
        <v>2219</v>
      </c>
      <c r="F322" s="23" t="s">
        <v>2220</v>
      </c>
      <c r="G322" s="93" t="s">
        <v>5</v>
      </c>
      <c r="H322" s="94" t="s">
        <v>267</v>
      </c>
      <c r="I322" s="93"/>
      <c r="J322" s="93"/>
      <c r="K322" s="93"/>
      <c r="L322" s="93"/>
      <c r="M322" s="95"/>
      <c r="N322" s="95"/>
      <c r="O322" s="95"/>
      <c r="P322" s="95"/>
      <c r="Q322" s="151" t="s">
        <v>1283</v>
      </c>
      <c r="R322" s="151" t="s">
        <v>1283</v>
      </c>
      <c r="S322" s="11"/>
      <c r="T322" s="97"/>
    </row>
    <row r="323" spans="1:21" ht="23" x14ac:dyDescent="0.35">
      <c r="A323" s="56"/>
      <c r="B323" s="59" t="s">
        <v>1666</v>
      </c>
      <c r="C323" s="91" t="s">
        <v>3</v>
      </c>
      <c r="D323" s="21" t="s">
        <v>2218</v>
      </c>
      <c r="E323" s="22" t="s">
        <v>1712</v>
      </c>
      <c r="F323" s="23" t="s">
        <v>1713</v>
      </c>
      <c r="G323" s="93" t="s">
        <v>5</v>
      </c>
      <c r="H323" s="94" t="s">
        <v>267</v>
      </c>
      <c r="I323" s="93"/>
      <c r="J323" s="93"/>
      <c r="K323" s="93"/>
      <c r="L323" s="93"/>
      <c r="M323" s="95" t="s">
        <v>81</v>
      </c>
      <c r="N323" s="95" t="s">
        <v>69</v>
      </c>
      <c r="O323" s="95" t="s">
        <v>81</v>
      </c>
      <c r="P323" s="95" t="s">
        <v>81</v>
      </c>
      <c r="Q323" s="96" t="s">
        <v>69</v>
      </c>
      <c r="R323" s="96" t="s">
        <v>69</v>
      </c>
      <c r="S323" s="11" t="s">
        <v>1283</v>
      </c>
      <c r="T323" s="97"/>
    </row>
    <row r="324" spans="1:21" ht="23" x14ac:dyDescent="0.35">
      <c r="A324" s="56"/>
      <c r="B324" s="59" t="s">
        <v>1666</v>
      </c>
      <c r="C324" s="16" t="s">
        <v>2</v>
      </c>
      <c r="D324" s="17" t="s">
        <v>198</v>
      </c>
      <c r="E324" s="25" t="s">
        <v>199</v>
      </c>
      <c r="F324" s="19" t="s">
        <v>1667</v>
      </c>
      <c r="G324" s="19" t="s">
        <v>5</v>
      </c>
      <c r="H324" s="49" t="s">
        <v>267</v>
      </c>
      <c r="I324" s="26"/>
      <c r="J324" s="26"/>
      <c r="K324" s="26"/>
      <c r="L324" s="26"/>
      <c r="M324" s="10" t="s">
        <v>26</v>
      </c>
      <c r="N324" s="10" t="s">
        <v>26</v>
      </c>
      <c r="O324" s="10" t="s">
        <v>26</v>
      </c>
      <c r="P324" s="10" t="s">
        <v>26</v>
      </c>
      <c r="Q324" s="96" t="s">
        <v>69</v>
      </c>
      <c r="R324" s="96" t="s">
        <v>69</v>
      </c>
      <c r="S324" s="11" t="s">
        <v>1283</v>
      </c>
      <c r="T324" s="77"/>
    </row>
    <row r="325" spans="1:21" ht="34.5" x14ac:dyDescent="0.35">
      <c r="A325" s="56"/>
      <c r="B325" s="59" t="s">
        <v>37</v>
      </c>
      <c r="C325" s="12" t="s">
        <v>1</v>
      </c>
      <c r="D325" s="13" t="s">
        <v>200</v>
      </c>
      <c r="E325" s="14" t="s">
        <v>201</v>
      </c>
      <c r="F325" s="15" t="s">
        <v>1668</v>
      </c>
      <c r="G325" s="15" t="s">
        <v>5</v>
      </c>
      <c r="H325" s="48" t="s">
        <v>265</v>
      </c>
      <c r="I325" s="35"/>
      <c r="J325" s="35"/>
      <c r="K325" s="35"/>
      <c r="L325" s="35"/>
      <c r="M325" s="10" t="s">
        <v>81</v>
      </c>
      <c r="N325" s="10" t="s">
        <v>179</v>
      </c>
      <c r="O325" s="10" t="s">
        <v>81</v>
      </c>
      <c r="P325" s="10" t="s">
        <v>25</v>
      </c>
      <c r="Q325" s="11" t="s">
        <v>69</v>
      </c>
      <c r="R325" s="11" t="s">
        <v>69</v>
      </c>
      <c r="S325" s="11"/>
      <c r="T325" s="77"/>
    </row>
    <row r="326" spans="1:21" ht="23" x14ac:dyDescent="0.35">
      <c r="A326" s="56" t="s">
        <v>31</v>
      </c>
      <c r="B326" s="59" t="s">
        <v>1155</v>
      </c>
      <c r="C326" s="16" t="s">
        <v>2</v>
      </c>
      <c r="D326" s="17" t="s">
        <v>202</v>
      </c>
      <c r="E326" s="18" t="s">
        <v>1672</v>
      </c>
      <c r="F326" s="19" t="s">
        <v>1539</v>
      </c>
      <c r="G326" s="19" t="s">
        <v>5</v>
      </c>
      <c r="H326" s="49" t="s">
        <v>265</v>
      </c>
      <c r="I326" s="19"/>
      <c r="J326" s="19"/>
      <c r="K326" s="19"/>
      <c r="L326" s="19"/>
      <c r="M326" s="10"/>
      <c r="N326" s="10"/>
      <c r="O326" s="10"/>
      <c r="P326" s="10"/>
      <c r="Q326" s="11" t="s">
        <v>69</v>
      </c>
      <c r="R326" s="11" t="s">
        <v>69</v>
      </c>
      <c r="S326" s="11"/>
      <c r="T326" s="77"/>
    </row>
    <row r="327" spans="1:21" ht="57.5" x14ac:dyDescent="0.35">
      <c r="A327" s="56" t="s">
        <v>31</v>
      </c>
      <c r="B327" s="59" t="s">
        <v>1155</v>
      </c>
      <c r="C327" s="91" t="s">
        <v>3</v>
      </c>
      <c r="D327" s="21" t="s">
        <v>1199</v>
      </c>
      <c r="E327" s="22" t="s">
        <v>1673</v>
      </c>
      <c r="F327" s="23" t="s">
        <v>1674</v>
      </c>
      <c r="G327" s="23" t="s">
        <v>5</v>
      </c>
      <c r="H327" s="50" t="s">
        <v>265</v>
      </c>
      <c r="I327" s="93"/>
      <c r="J327" s="93"/>
      <c r="K327" s="93"/>
      <c r="L327" s="93"/>
      <c r="M327" s="95"/>
      <c r="N327" s="95"/>
      <c r="O327" s="95"/>
      <c r="P327" s="95"/>
      <c r="Q327" s="11" t="s">
        <v>69</v>
      </c>
      <c r="R327" s="11" t="s">
        <v>69</v>
      </c>
      <c r="S327" s="96"/>
      <c r="T327" s="97"/>
    </row>
    <row r="328" spans="1:21" ht="34.5" x14ac:dyDescent="0.35">
      <c r="A328" s="56" t="s">
        <v>31</v>
      </c>
      <c r="B328" s="59" t="s">
        <v>1155</v>
      </c>
      <c r="C328" s="91" t="s">
        <v>3</v>
      </c>
      <c r="D328" s="21" t="s">
        <v>1201</v>
      </c>
      <c r="E328" s="22" t="s">
        <v>1669</v>
      </c>
      <c r="F328" s="23" t="s">
        <v>1670</v>
      </c>
      <c r="G328" s="23" t="s">
        <v>5</v>
      </c>
      <c r="H328" s="50" t="s">
        <v>265</v>
      </c>
      <c r="I328" s="93"/>
      <c r="J328" s="93"/>
      <c r="K328" s="93"/>
      <c r="L328" s="93"/>
      <c r="M328" s="95"/>
      <c r="N328" s="95"/>
      <c r="O328" s="95"/>
      <c r="P328" s="95"/>
      <c r="Q328" s="11" t="s">
        <v>69</v>
      </c>
      <c r="R328" s="11" t="s">
        <v>69</v>
      </c>
      <c r="S328" s="96"/>
      <c r="T328" s="97"/>
    </row>
    <row r="329" spans="1:21" ht="69" x14ac:dyDescent="0.35">
      <c r="A329" s="56"/>
      <c r="B329" s="59" t="s">
        <v>37</v>
      </c>
      <c r="C329" s="16" t="s">
        <v>2</v>
      </c>
      <c r="D329" s="17" t="s">
        <v>203</v>
      </c>
      <c r="E329" s="25" t="s">
        <v>189</v>
      </c>
      <c r="F329" s="19" t="s">
        <v>1675</v>
      </c>
      <c r="G329" s="19" t="s">
        <v>5</v>
      </c>
      <c r="H329" s="49" t="s">
        <v>264</v>
      </c>
      <c r="I329" s="19" t="s">
        <v>583</v>
      </c>
      <c r="J329" s="19" t="s">
        <v>582</v>
      </c>
      <c r="K329" s="19" t="s">
        <v>584</v>
      </c>
      <c r="L329" s="19" t="s">
        <v>585</v>
      </c>
      <c r="M329" s="10" t="s">
        <v>81</v>
      </c>
      <c r="N329" s="10" t="s">
        <v>179</v>
      </c>
      <c r="O329" s="10" t="s">
        <v>81</v>
      </c>
      <c r="P329" s="10" t="s">
        <v>106</v>
      </c>
      <c r="Q329" s="11" t="s">
        <v>1717</v>
      </c>
      <c r="R329" s="11" t="s">
        <v>69</v>
      </c>
      <c r="S329" s="11"/>
      <c r="T329" s="77"/>
    </row>
    <row r="330" spans="1:21" ht="92" x14ac:dyDescent="0.35">
      <c r="A330" s="56"/>
      <c r="B330" s="59" t="s">
        <v>37</v>
      </c>
      <c r="C330" s="91" t="s">
        <v>3</v>
      </c>
      <c r="D330" s="21" t="s">
        <v>1204</v>
      </c>
      <c r="E330" s="22" t="s">
        <v>1676</v>
      </c>
      <c r="F330" s="23" t="s">
        <v>1677</v>
      </c>
      <c r="G330" s="93" t="s">
        <v>5</v>
      </c>
      <c r="H330" s="94" t="s">
        <v>264</v>
      </c>
      <c r="I330" s="93" t="s">
        <v>1177</v>
      </c>
      <c r="J330" s="93" t="s">
        <v>1178</v>
      </c>
      <c r="K330" s="93" t="s">
        <v>1179</v>
      </c>
      <c r="L330" s="93" t="s">
        <v>1180</v>
      </c>
      <c r="M330" s="95" t="s">
        <v>81</v>
      </c>
      <c r="N330" s="95" t="s">
        <v>69</v>
      </c>
      <c r="O330" s="95" t="s">
        <v>81</v>
      </c>
      <c r="P330" s="95" t="s">
        <v>106</v>
      </c>
      <c r="Q330" s="11" t="s">
        <v>1717</v>
      </c>
      <c r="R330" s="96" t="s">
        <v>69</v>
      </c>
      <c r="S330" s="96"/>
      <c r="T330" s="97"/>
    </row>
    <row r="331" spans="1:21" ht="92" x14ac:dyDescent="0.35">
      <c r="A331" s="56"/>
      <c r="B331" s="59" t="s">
        <v>37</v>
      </c>
      <c r="C331" s="91" t="s">
        <v>3</v>
      </c>
      <c r="D331" s="21" t="s">
        <v>1206</v>
      </c>
      <c r="E331" s="22" t="s">
        <v>1678</v>
      </c>
      <c r="F331" s="23" t="s">
        <v>1679</v>
      </c>
      <c r="G331" s="93" t="s">
        <v>5</v>
      </c>
      <c r="H331" s="94" t="s">
        <v>264</v>
      </c>
      <c r="I331" s="93" t="s">
        <v>1177</v>
      </c>
      <c r="J331" s="93" t="s">
        <v>1178</v>
      </c>
      <c r="K331" s="93" t="s">
        <v>1179</v>
      </c>
      <c r="L331" s="93" t="s">
        <v>1180</v>
      </c>
      <c r="M331" s="95" t="s">
        <v>81</v>
      </c>
      <c r="N331" s="95" t="s">
        <v>69</v>
      </c>
      <c r="O331" s="95" t="s">
        <v>81</v>
      </c>
      <c r="P331" s="95" t="s">
        <v>106</v>
      </c>
      <c r="Q331" s="11" t="s">
        <v>1717</v>
      </c>
      <c r="R331" s="96" t="s">
        <v>69</v>
      </c>
      <c r="S331" s="96"/>
      <c r="T331" s="97"/>
    </row>
    <row r="332" spans="1:21" ht="46" x14ac:dyDescent="0.35">
      <c r="A332" s="56"/>
      <c r="B332" s="59" t="s">
        <v>37</v>
      </c>
      <c r="C332" s="91" t="s">
        <v>3</v>
      </c>
      <c r="D332" s="21" t="s">
        <v>1536</v>
      </c>
      <c r="E332" s="82" t="s">
        <v>1168</v>
      </c>
      <c r="F332" s="23" t="s">
        <v>1680</v>
      </c>
      <c r="G332" s="93" t="s">
        <v>5</v>
      </c>
      <c r="H332" s="94" t="s">
        <v>264</v>
      </c>
      <c r="I332" s="93" t="s">
        <v>1169</v>
      </c>
      <c r="J332" s="93" t="s">
        <v>1170</v>
      </c>
      <c r="K332" s="93" t="s">
        <v>1171</v>
      </c>
      <c r="L332" s="93" t="s">
        <v>1172</v>
      </c>
      <c r="M332" s="95" t="s">
        <v>81</v>
      </c>
      <c r="N332" s="95" t="s">
        <v>69</v>
      </c>
      <c r="O332" s="95" t="s">
        <v>81</v>
      </c>
      <c r="P332" s="95" t="s">
        <v>106</v>
      </c>
      <c r="Q332" s="11" t="s">
        <v>1717</v>
      </c>
      <c r="R332" s="96" t="s">
        <v>69</v>
      </c>
      <c r="S332" s="96"/>
      <c r="T332" s="97"/>
    </row>
    <row r="333" spans="1:21" ht="34.5" x14ac:dyDescent="0.35">
      <c r="A333" s="56"/>
      <c r="B333" s="59" t="s">
        <v>37</v>
      </c>
      <c r="C333" s="91" t="s">
        <v>3</v>
      </c>
      <c r="D333" s="21" t="s">
        <v>1537</v>
      </c>
      <c r="E333" s="22" t="s">
        <v>1681</v>
      </c>
      <c r="F333" s="23" t="s">
        <v>1682</v>
      </c>
      <c r="G333" s="93" t="s">
        <v>5</v>
      </c>
      <c r="H333" s="94" t="s">
        <v>264</v>
      </c>
      <c r="I333" s="93"/>
      <c r="J333" s="93"/>
      <c r="K333" s="93"/>
      <c r="L333" s="93"/>
      <c r="M333" s="95"/>
      <c r="N333" s="95"/>
      <c r="O333" s="95"/>
      <c r="P333" s="95"/>
      <c r="Q333" s="11" t="s">
        <v>1717</v>
      </c>
      <c r="R333" s="96" t="s">
        <v>69</v>
      </c>
      <c r="S333" s="11"/>
      <c r="T333" s="97"/>
    </row>
    <row r="334" spans="1:21" ht="92" x14ac:dyDescent="0.35">
      <c r="A334" s="56" t="s">
        <v>31</v>
      </c>
      <c r="B334" s="59" t="s">
        <v>37</v>
      </c>
      <c r="C334" s="91" t="s">
        <v>3</v>
      </c>
      <c r="D334" s="21" t="s">
        <v>1637</v>
      </c>
      <c r="E334" s="22" t="s">
        <v>1916</v>
      </c>
      <c r="F334" s="145" t="s">
        <v>2221</v>
      </c>
      <c r="G334" s="93" t="s">
        <v>5</v>
      </c>
      <c r="H334" s="94" t="s">
        <v>265</v>
      </c>
      <c r="I334" s="93"/>
      <c r="J334" s="93"/>
      <c r="K334" s="93"/>
      <c r="L334" s="93"/>
      <c r="M334" s="95"/>
      <c r="N334" s="95"/>
      <c r="O334" s="95"/>
      <c r="P334" s="95"/>
      <c r="Q334" s="151" t="s">
        <v>69</v>
      </c>
      <c r="R334" s="96" t="s">
        <v>69</v>
      </c>
      <c r="S334" s="11"/>
      <c r="T334" s="97"/>
    </row>
    <row r="335" spans="1:21" ht="80.5" x14ac:dyDescent="0.35">
      <c r="A335" s="56"/>
      <c r="B335" s="59" t="s">
        <v>37</v>
      </c>
      <c r="C335" s="16" t="s">
        <v>2</v>
      </c>
      <c r="D335" s="17" t="s">
        <v>205</v>
      </c>
      <c r="E335" s="25" t="s">
        <v>204</v>
      </c>
      <c r="F335" s="19" t="s">
        <v>1540</v>
      </c>
      <c r="G335" s="19" t="s">
        <v>5</v>
      </c>
      <c r="H335" s="49" t="s">
        <v>265</v>
      </c>
      <c r="I335" s="19" t="s">
        <v>591</v>
      </c>
      <c r="J335" s="19" t="s">
        <v>590</v>
      </c>
      <c r="K335" s="19" t="s">
        <v>592</v>
      </c>
      <c r="L335" s="19" t="s">
        <v>593</v>
      </c>
      <c r="M335" s="10" t="s">
        <v>81</v>
      </c>
      <c r="N335" s="10" t="s">
        <v>179</v>
      </c>
      <c r="O335" s="10" t="s">
        <v>81</v>
      </c>
      <c r="P335" s="10" t="s">
        <v>69</v>
      </c>
      <c r="Q335" s="11" t="s">
        <v>69</v>
      </c>
      <c r="R335" s="11" t="s">
        <v>69</v>
      </c>
      <c r="S335" s="11"/>
      <c r="T335" s="77"/>
    </row>
    <row r="336" spans="1:21" ht="87" x14ac:dyDescent="0.35">
      <c r="A336" s="56"/>
      <c r="B336" s="90" t="s">
        <v>194</v>
      </c>
      <c r="C336" s="91" t="s">
        <v>3</v>
      </c>
      <c r="D336" s="21" t="s">
        <v>1227</v>
      </c>
      <c r="E336" s="82" t="s">
        <v>1205</v>
      </c>
      <c r="F336" s="23" t="s">
        <v>1696</v>
      </c>
      <c r="G336" s="93" t="s">
        <v>5</v>
      </c>
      <c r="H336" s="94" t="s">
        <v>265</v>
      </c>
      <c r="I336" s="93" t="s">
        <v>591</v>
      </c>
      <c r="J336" s="93" t="s">
        <v>1220</v>
      </c>
      <c r="K336" s="93" t="s">
        <v>1221</v>
      </c>
      <c r="L336" s="93" t="s">
        <v>1222</v>
      </c>
      <c r="M336" s="95" t="s">
        <v>81</v>
      </c>
      <c r="N336" s="95" t="s">
        <v>69</v>
      </c>
      <c r="O336" s="95" t="s">
        <v>81</v>
      </c>
      <c r="P336" s="95" t="s">
        <v>69</v>
      </c>
      <c r="Q336" s="96" t="s">
        <v>69</v>
      </c>
      <c r="R336" s="96" t="s">
        <v>69</v>
      </c>
      <c r="S336" s="96"/>
      <c r="T336" s="97"/>
      <c r="U336" s="118" t="s">
        <v>1298</v>
      </c>
    </row>
    <row r="337" spans="1:29" ht="57.5" x14ac:dyDescent="0.35">
      <c r="A337" s="56"/>
      <c r="B337" s="59" t="s">
        <v>37</v>
      </c>
      <c r="C337" s="91" t="s">
        <v>3</v>
      </c>
      <c r="D337" s="21" t="s">
        <v>1233</v>
      </c>
      <c r="E337" s="22" t="s">
        <v>1544</v>
      </c>
      <c r="F337" s="23" t="s">
        <v>1545</v>
      </c>
      <c r="G337" s="93" t="str">
        <f>"Decision 
If yes, proceed to step "&amp;D339&amp;" 
If no, proceed to "&amp;D338&amp;""</f>
        <v>Decision 
If yes, proceed to step 5.3.3.4 
If no, proceed to 5.3.3.3</v>
      </c>
      <c r="H337" s="94" t="s">
        <v>265</v>
      </c>
      <c r="I337" s="93" t="s">
        <v>591</v>
      </c>
      <c r="J337" s="93" t="s">
        <v>1220</v>
      </c>
      <c r="K337" s="93" t="s">
        <v>1221</v>
      </c>
      <c r="L337" s="93" t="s">
        <v>1222</v>
      </c>
      <c r="M337" s="95" t="s">
        <v>81</v>
      </c>
      <c r="N337" s="95" t="s">
        <v>69</v>
      </c>
      <c r="O337" s="95" t="s">
        <v>81</v>
      </c>
      <c r="P337" s="95" t="s">
        <v>69</v>
      </c>
      <c r="Q337" s="96" t="s">
        <v>69</v>
      </c>
      <c r="R337" s="96" t="s">
        <v>69</v>
      </c>
      <c r="S337" s="96"/>
      <c r="T337" s="97"/>
      <c r="U337" s="118"/>
    </row>
    <row r="338" spans="1:29" ht="43.5" x14ac:dyDescent="0.35">
      <c r="A338" s="56"/>
      <c r="B338" s="59" t="s">
        <v>1716</v>
      </c>
      <c r="C338" s="91" t="s">
        <v>3</v>
      </c>
      <c r="D338" s="21" t="s">
        <v>1239</v>
      </c>
      <c r="E338" s="22" t="s">
        <v>1546</v>
      </c>
      <c r="F338" s="23" t="s">
        <v>1547</v>
      </c>
      <c r="G338" s="93" t="s">
        <v>5</v>
      </c>
      <c r="H338" s="50" t="s">
        <v>267</v>
      </c>
      <c r="I338" s="93"/>
      <c r="J338" s="93"/>
      <c r="K338" s="93"/>
      <c r="L338" s="93"/>
      <c r="M338" s="95"/>
      <c r="N338" s="95"/>
      <c r="O338" s="95"/>
      <c r="P338" s="95"/>
      <c r="Q338" s="96" t="s">
        <v>69</v>
      </c>
      <c r="R338" s="11" t="s">
        <v>1283</v>
      </c>
      <c r="S338" s="11" t="s">
        <v>1283</v>
      </c>
      <c r="T338" s="97"/>
      <c r="U338" s="118"/>
      <c r="AC338" s="117" t="s">
        <v>1636</v>
      </c>
    </row>
    <row r="339" spans="1:29" ht="46" x14ac:dyDescent="0.35">
      <c r="A339" s="56"/>
      <c r="B339" s="59" t="s">
        <v>37</v>
      </c>
      <c r="C339" s="91" t="s">
        <v>3</v>
      </c>
      <c r="D339" s="21" t="s">
        <v>1683</v>
      </c>
      <c r="E339" s="22" t="s">
        <v>1541</v>
      </c>
      <c r="F339" s="23" t="s">
        <v>1542</v>
      </c>
      <c r="G339" s="93" t="s">
        <v>5</v>
      </c>
      <c r="H339" s="94" t="s">
        <v>265</v>
      </c>
      <c r="I339" s="93" t="s">
        <v>591</v>
      </c>
      <c r="J339" s="93" t="s">
        <v>1220</v>
      </c>
      <c r="K339" s="93" t="s">
        <v>1221</v>
      </c>
      <c r="L339" s="93" t="s">
        <v>1222</v>
      </c>
      <c r="M339" s="95" t="s">
        <v>81</v>
      </c>
      <c r="N339" s="95" t="s">
        <v>69</v>
      </c>
      <c r="O339" s="95" t="s">
        <v>81</v>
      </c>
      <c r="P339" s="95" t="s">
        <v>69</v>
      </c>
      <c r="Q339" s="96" t="s">
        <v>69</v>
      </c>
      <c r="R339" s="96" t="s">
        <v>69</v>
      </c>
      <c r="S339" s="96"/>
      <c r="T339" s="97"/>
      <c r="U339" s="118"/>
    </row>
    <row r="340" spans="1:29" ht="34.5" x14ac:dyDescent="0.35">
      <c r="A340" s="56"/>
      <c r="B340" s="59" t="s">
        <v>37</v>
      </c>
      <c r="C340" s="91" t="s">
        <v>3</v>
      </c>
      <c r="D340" s="21" t="s">
        <v>1684</v>
      </c>
      <c r="E340" s="82" t="s">
        <v>1207</v>
      </c>
      <c r="F340" s="23" t="s">
        <v>1543</v>
      </c>
      <c r="G340" s="93" t="s">
        <v>5</v>
      </c>
      <c r="H340" s="94" t="s">
        <v>267</v>
      </c>
      <c r="I340" s="93" t="s">
        <v>1223</v>
      </c>
      <c r="J340" s="93" t="s">
        <v>1224</v>
      </c>
      <c r="K340" s="93" t="s">
        <v>1225</v>
      </c>
      <c r="L340" s="93" t="s">
        <v>1226</v>
      </c>
      <c r="M340" s="95" t="s">
        <v>81</v>
      </c>
      <c r="N340" s="95" t="s">
        <v>69</v>
      </c>
      <c r="O340" s="95" t="s">
        <v>81</v>
      </c>
      <c r="P340" s="95" t="s">
        <v>69</v>
      </c>
      <c r="Q340" s="96" t="s">
        <v>69</v>
      </c>
      <c r="R340" s="96" t="s">
        <v>69</v>
      </c>
      <c r="S340" s="11" t="s">
        <v>1283</v>
      </c>
      <c r="T340" s="97"/>
    </row>
    <row r="341" spans="1:29" ht="34.5" x14ac:dyDescent="0.35">
      <c r="A341" s="56"/>
      <c r="B341" s="59" t="s">
        <v>37</v>
      </c>
      <c r="C341" s="16" t="s">
        <v>2</v>
      </c>
      <c r="D341" s="17" t="s">
        <v>1551</v>
      </c>
      <c r="E341" s="18" t="s">
        <v>1538</v>
      </c>
      <c r="F341" s="19" t="s">
        <v>1697</v>
      </c>
      <c r="G341" s="19" t="s">
        <v>5</v>
      </c>
      <c r="H341" s="49" t="s">
        <v>265</v>
      </c>
      <c r="I341" s="26"/>
      <c r="J341" s="26"/>
      <c r="K341" s="26"/>
      <c r="L341" s="26"/>
      <c r="M341" s="10" t="s">
        <v>81</v>
      </c>
      <c r="N341" s="10" t="s">
        <v>179</v>
      </c>
      <c r="O341" s="10" t="s">
        <v>81</v>
      </c>
      <c r="P341" s="10" t="s">
        <v>106</v>
      </c>
      <c r="Q341" s="11" t="s">
        <v>69</v>
      </c>
      <c r="R341" s="11" t="s">
        <v>69</v>
      </c>
      <c r="S341" s="11"/>
      <c r="T341" s="77"/>
    </row>
    <row r="342" spans="1:29" ht="34.5" x14ac:dyDescent="0.35">
      <c r="A342" s="56"/>
      <c r="B342" s="90" t="s">
        <v>37</v>
      </c>
      <c r="C342" s="91" t="s">
        <v>3</v>
      </c>
      <c r="D342" s="21" t="s">
        <v>1552</v>
      </c>
      <c r="E342" s="82" t="s">
        <v>1200</v>
      </c>
      <c r="F342" s="23" t="s">
        <v>1698</v>
      </c>
      <c r="G342" s="93" t="s">
        <v>5</v>
      </c>
      <c r="H342" s="94" t="s">
        <v>264</v>
      </c>
      <c r="I342" s="93" t="s">
        <v>1208</v>
      </c>
      <c r="J342" s="93" t="s">
        <v>1209</v>
      </c>
      <c r="K342" s="93" t="s">
        <v>1210</v>
      </c>
      <c r="L342" s="93" t="s">
        <v>1211</v>
      </c>
      <c r="M342" s="95" t="s">
        <v>81</v>
      </c>
      <c r="N342" s="95" t="s">
        <v>69</v>
      </c>
      <c r="O342" s="95" t="s">
        <v>81</v>
      </c>
      <c r="P342" s="95" t="s">
        <v>106</v>
      </c>
      <c r="Q342" s="151" t="s">
        <v>1717</v>
      </c>
      <c r="R342" s="96" t="s">
        <v>69</v>
      </c>
      <c r="S342" s="96"/>
      <c r="T342" s="97"/>
    </row>
    <row r="343" spans="1:29" ht="34.5" x14ac:dyDescent="0.35">
      <c r="A343" s="56"/>
      <c r="B343" s="90" t="s">
        <v>37</v>
      </c>
      <c r="C343" s="91" t="s">
        <v>3</v>
      </c>
      <c r="D343" s="21" t="s">
        <v>1553</v>
      </c>
      <c r="E343" s="82" t="s">
        <v>1202</v>
      </c>
      <c r="F343" s="23" t="s">
        <v>1548</v>
      </c>
      <c r="G343" s="93" t="s">
        <v>5</v>
      </c>
      <c r="H343" s="94" t="s">
        <v>264</v>
      </c>
      <c r="I343" s="93" t="s">
        <v>1212</v>
      </c>
      <c r="J343" s="93" t="s">
        <v>1213</v>
      </c>
      <c r="K343" s="93" t="s">
        <v>1214</v>
      </c>
      <c r="L343" s="93" t="s">
        <v>1215</v>
      </c>
      <c r="M343" s="95" t="s">
        <v>81</v>
      </c>
      <c r="N343" s="95" t="s">
        <v>69</v>
      </c>
      <c r="O343" s="95" t="s">
        <v>81</v>
      </c>
      <c r="P343" s="95" t="s">
        <v>81</v>
      </c>
      <c r="Q343" s="151" t="s">
        <v>1717</v>
      </c>
      <c r="R343" s="96" t="s">
        <v>69</v>
      </c>
      <c r="S343" s="96"/>
      <c r="T343" s="97"/>
    </row>
    <row r="344" spans="1:29" ht="46" x14ac:dyDescent="0.35">
      <c r="A344" s="56"/>
      <c r="B344" s="90" t="s">
        <v>37</v>
      </c>
      <c r="C344" s="91" t="s">
        <v>3</v>
      </c>
      <c r="D344" s="21" t="s">
        <v>1554</v>
      </c>
      <c r="E344" s="82" t="s">
        <v>1203</v>
      </c>
      <c r="F344" s="23" t="s">
        <v>1699</v>
      </c>
      <c r="G344" s="93" t="s">
        <v>5</v>
      </c>
      <c r="H344" s="94" t="s">
        <v>267</v>
      </c>
      <c r="I344" s="93" t="s">
        <v>1216</v>
      </c>
      <c r="J344" s="93" t="s">
        <v>1217</v>
      </c>
      <c r="K344" s="93" t="s">
        <v>1218</v>
      </c>
      <c r="L344" s="93" t="s">
        <v>1219</v>
      </c>
      <c r="M344" s="95" t="s">
        <v>81</v>
      </c>
      <c r="N344" s="95" t="s">
        <v>69</v>
      </c>
      <c r="O344" s="95" t="s">
        <v>81</v>
      </c>
      <c r="P344" s="95" t="s">
        <v>81</v>
      </c>
      <c r="Q344" s="96" t="s">
        <v>69</v>
      </c>
      <c r="R344" s="96" t="s">
        <v>69</v>
      </c>
      <c r="S344" s="96"/>
      <c r="T344" s="97"/>
    </row>
    <row r="345" spans="1:29" ht="126.5" x14ac:dyDescent="0.35">
      <c r="A345" s="56"/>
      <c r="B345" s="59" t="s">
        <v>37</v>
      </c>
      <c r="C345" s="16" t="s">
        <v>2</v>
      </c>
      <c r="D345" s="17" t="s">
        <v>1685</v>
      </c>
      <c r="E345" s="25" t="s">
        <v>206</v>
      </c>
      <c r="F345" s="19" t="s">
        <v>1700</v>
      </c>
      <c r="G345" s="19" t="s">
        <v>5</v>
      </c>
      <c r="H345" s="49" t="s">
        <v>264</v>
      </c>
      <c r="I345" s="19" t="s">
        <v>595</v>
      </c>
      <c r="J345" s="19" t="s">
        <v>594</v>
      </c>
      <c r="K345" s="19" t="s">
        <v>596</v>
      </c>
      <c r="L345" s="19" t="s">
        <v>293</v>
      </c>
      <c r="M345" s="10" t="s">
        <v>81</v>
      </c>
      <c r="N345" s="10" t="s">
        <v>179</v>
      </c>
      <c r="O345" s="10" t="s">
        <v>81</v>
      </c>
      <c r="P345" s="10" t="s">
        <v>106</v>
      </c>
      <c r="Q345" s="11" t="s">
        <v>1717</v>
      </c>
      <c r="R345" s="11" t="s">
        <v>69</v>
      </c>
      <c r="S345" s="11"/>
      <c r="T345" s="77"/>
    </row>
    <row r="346" spans="1:29" ht="46" x14ac:dyDescent="0.35">
      <c r="A346" s="56"/>
      <c r="B346" s="90" t="s">
        <v>37</v>
      </c>
      <c r="C346" s="91" t="s">
        <v>3</v>
      </c>
      <c r="D346" s="21" t="s">
        <v>1686</v>
      </c>
      <c r="E346" s="82" t="s">
        <v>1228</v>
      </c>
      <c r="F346" s="23" t="s">
        <v>1701</v>
      </c>
      <c r="G346" s="93" t="s">
        <v>5</v>
      </c>
      <c r="H346" s="50" t="s">
        <v>264</v>
      </c>
      <c r="I346" s="93" t="s">
        <v>1229</v>
      </c>
      <c r="J346" s="93" t="s">
        <v>1230</v>
      </c>
      <c r="K346" s="93" t="s">
        <v>1231</v>
      </c>
      <c r="L346" s="93" t="s">
        <v>1232</v>
      </c>
      <c r="M346" s="95" t="s">
        <v>81</v>
      </c>
      <c r="N346" s="95" t="s">
        <v>69</v>
      </c>
      <c r="O346" s="95" t="s">
        <v>81</v>
      </c>
      <c r="P346" s="95" t="s">
        <v>106</v>
      </c>
      <c r="Q346" s="151" t="s">
        <v>1717</v>
      </c>
      <c r="R346" s="96" t="s">
        <v>69</v>
      </c>
      <c r="S346" s="96"/>
      <c r="T346" s="97"/>
    </row>
    <row r="347" spans="1:29" ht="34.5" x14ac:dyDescent="0.35">
      <c r="A347" s="56"/>
      <c r="B347" s="90" t="s">
        <v>37</v>
      </c>
      <c r="C347" s="91" t="s">
        <v>3</v>
      </c>
      <c r="D347" s="21" t="s">
        <v>1687</v>
      </c>
      <c r="E347" s="82" t="s">
        <v>1234</v>
      </c>
      <c r="F347" s="23" t="s">
        <v>1555</v>
      </c>
      <c r="G347" s="93" t="s">
        <v>5</v>
      </c>
      <c r="H347" s="50" t="s">
        <v>264</v>
      </c>
      <c r="I347" s="93" t="s">
        <v>1235</v>
      </c>
      <c r="J347" s="93" t="s">
        <v>1236</v>
      </c>
      <c r="K347" s="93" t="s">
        <v>1237</v>
      </c>
      <c r="L347" s="93" t="s">
        <v>1238</v>
      </c>
      <c r="M347" s="95" t="s">
        <v>81</v>
      </c>
      <c r="N347" s="95" t="s">
        <v>69</v>
      </c>
      <c r="O347" s="95" t="s">
        <v>81</v>
      </c>
      <c r="P347" s="95" t="s">
        <v>69</v>
      </c>
      <c r="Q347" s="151" t="s">
        <v>1717</v>
      </c>
      <c r="R347" s="96" t="s">
        <v>69</v>
      </c>
      <c r="S347" s="96"/>
      <c r="T347" s="97"/>
    </row>
    <row r="348" spans="1:29" ht="46" x14ac:dyDescent="0.35">
      <c r="A348" s="56"/>
      <c r="B348" s="90" t="s">
        <v>37</v>
      </c>
      <c r="C348" s="91" t="s">
        <v>3</v>
      </c>
      <c r="D348" s="21" t="s">
        <v>1688</v>
      </c>
      <c r="E348" s="22" t="s">
        <v>1240</v>
      </c>
      <c r="F348" s="23" t="s">
        <v>1556</v>
      </c>
      <c r="G348" s="93" t="s">
        <v>5</v>
      </c>
      <c r="H348" s="50" t="s">
        <v>264</v>
      </c>
      <c r="I348" s="93"/>
      <c r="J348" s="93"/>
      <c r="K348" s="93"/>
      <c r="L348" s="93"/>
      <c r="M348" s="95" t="s">
        <v>81</v>
      </c>
      <c r="N348" s="95" t="s">
        <v>69</v>
      </c>
      <c r="O348" s="95" t="s">
        <v>81</v>
      </c>
      <c r="P348" s="95" t="s">
        <v>106</v>
      </c>
      <c r="Q348" s="151" t="s">
        <v>1717</v>
      </c>
      <c r="R348" s="96" t="s">
        <v>69</v>
      </c>
      <c r="S348" s="96"/>
      <c r="T348" s="97"/>
    </row>
    <row r="349" spans="1:29" ht="57.5" x14ac:dyDescent="0.35">
      <c r="A349" s="56"/>
      <c r="B349" s="59" t="s">
        <v>1695</v>
      </c>
      <c r="C349" s="16" t="s">
        <v>2</v>
      </c>
      <c r="D349" s="17" t="s">
        <v>1689</v>
      </c>
      <c r="E349" s="18" t="s">
        <v>1616</v>
      </c>
      <c r="F349" s="19" t="s">
        <v>1617</v>
      </c>
      <c r="G349" s="19" t="s">
        <v>5</v>
      </c>
      <c r="H349" s="49" t="s">
        <v>265</v>
      </c>
      <c r="I349" s="19"/>
      <c r="J349" s="19"/>
      <c r="K349" s="19"/>
      <c r="L349" s="19"/>
      <c r="M349" s="10"/>
      <c r="N349" s="10"/>
      <c r="O349" s="10"/>
      <c r="P349" s="10"/>
      <c r="Q349" s="96" t="s">
        <v>69</v>
      </c>
      <c r="R349" s="96" t="s">
        <v>69</v>
      </c>
      <c r="S349" s="11"/>
      <c r="T349" s="77"/>
    </row>
    <row r="350" spans="1:29" ht="69" x14ac:dyDescent="0.35">
      <c r="A350" s="56" t="s">
        <v>31</v>
      </c>
      <c r="B350" s="59" t="s">
        <v>1155</v>
      </c>
      <c r="C350" s="20" t="s">
        <v>3</v>
      </c>
      <c r="D350" s="21" t="s">
        <v>1690</v>
      </c>
      <c r="E350" s="22" t="s">
        <v>1618</v>
      </c>
      <c r="F350" s="23" t="s">
        <v>1641</v>
      </c>
      <c r="G350" s="23" t="s">
        <v>5</v>
      </c>
      <c r="H350" s="50" t="s">
        <v>264</v>
      </c>
      <c r="I350" s="93"/>
      <c r="J350" s="93"/>
      <c r="K350" s="93"/>
      <c r="L350" s="93"/>
      <c r="M350" s="95"/>
      <c r="N350" s="95"/>
      <c r="O350" s="95"/>
      <c r="P350" s="95"/>
      <c r="Q350" s="11" t="s">
        <v>1287</v>
      </c>
      <c r="R350" s="96" t="s">
        <v>69</v>
      </c>
      <c r="S350" s="11" t="s">
        <v>249</v>
      </c>
      <c r="T350" s="97"/>
    </row>
    <row r="351" spans="1:29" ht="34.5" x14ac:dyDescent="0.35">
      <c r="A351" s="56" t="s">
        <v>31</v>
      </c>
      <c r="B351" s="59" t="s">
        <v>1155</v>
      </c>
      <c r="C351" s="20" t="s">
        <v>3</v>
      </c>
      <c r="D351" s="21" t="s">
        <v>1691</v>
      </c>
      <c r="E351" s="22" t="s">
        <v>1642</v>
      </c>
      <c r="F351" s="23" t="s">
        <v>1643</v>
      </c>
      <c r="G351" s="23" t="s">
        <v>5</v>
      </c>
      <c r="H351" s="50" t="s">
        <v>264</v>
      </c>
      <c r="I351" s="93"/>
      <c r="J351" s="93"/>
      <c r="K351" s="93"/>
      <c r="L351" s="93"/>
      <c r="M351" s="95"/>
      <c r="N351" s="95"/>
      <c r="O351" s="95"/>
      <c r="P351" s="95"/>
      <c r="Q351" s="11" t="s">
        <v>1287</v>
      </c>
      <c r="R351" s="11" t="s">
        <v>1283</v>
      </c>
      <c r="S351" s="11" t="s">
        <v>249</v>
      </c>
      <c r="T351" s="97"/>
    </row>
    <row r="352" spans="1:29" ht="57.5" x14ac:dyDescent="0.35">
      <c r="A352" s="56" t="s">
        <v>31</v>
      </c>
      <c r="B352" s="59" t="s">
        <v>1155</v>
      </c>
      <c r="C352" s="20" t="s">
        <v>3</v>
      </c>
      <c r="D352" s="21" t="s">
        <v>1692</v>
      </c>
      <c r="E352" s="22" t="s">
        <v>1648</v>
      </c>
      <c r="F352" s="23" t="s">
        <v>1647</v>
      </c>
      <c r="G352" s="23" t="s">
        <v>5</v>
      </c>
      <c r="H352" s="50" t="s">
        <v>265</v>
      </c>
      <c r="I352" s="93"/>
      <c r="J352" s="93"/>
      <c r="K352" s="93"/>
      <c r="L352" s="93"/>
      <c r="M352" s="95"/>
      <c r="N352" s="95"/>
      <c r="O352" s="95"/>
      <c r="P352" s="95"/>
      <c r="Q352" s="11" t="s">
        <v>69</v>
      </c>
      <c r="R352" s="11" t="s">
        <v>1286</v>
      </c>
      <c r="S352" s="11" t="s">
        <v>1283</v>
      </c>
      <c r="T352" s="97"/>
    </row>
    <row r="353" spans="1:21" ht="57.5" x14ac:dyDescent="0.35">
      <c r="A353" s="56"/>
      <c r="B353" s="59" t="s">
        <v>1644</v>
      </c>
      <c r="C353" s="20" t="s">
        <v>3</v>
      </c>
      <c r="D353" s="21" t="s">
        <v>1693</v>
      </c>
      <c r="E353" s="22" t="s">
        <v>1646</v>
      </c>
      <c r="F353" s="23" t="s">
        <v>1649</v>
      </c>
      <c r="G353" s="23" t="s">
        <v>5</v>
      </c>
      <c r="H353" s="50" t="s">
        <v>265</v>
      </c>
      <c r="I353" s="93"/>
      <c r="J353" s="93"/>
      <c r="K353" s="93"/>
      <c r="L353" s="93"/>
      <c r="M353" s="95"/>
      <c r="N353" s="95"/>
      <c r="O353" s="95"/>
      <c r="P353" s="95"/>
      <c r="Q353" s="96" t="s">
        <v>69</v>
      </c>
      <c r="R353" s="11" t="s">
        <v>1283</v>
      </c>
      <c r="S353" s="11" t="s">
        <v>249</v>
      </c>
      <c r="T353" s="97"/>
    </row>
    <row r="354" spans="1:21" ht="34.5" x14ac:dyDescent="0.35">
      <c r="A354" s="56"/>
      <c r="B354" s="59" t="s">
        <v>1644</v>
      </c>
      <c r="C354" s="20" t="s">
        <v>3</v>
      </c>
      <c r="D354" s="21" t="s">
        <v>1694</v>
      </c>
      <c r="E354" s="22" t="s">
        <v>1619</v>
      </c>
      <c r="F354" s="23" t="s">
        <v>1645</v>
      </c>
      <c r="G354" s="23" t="s">
        <v>5</v>
      </c>
      <c r="H354" s="50" t="s">
        <v>265</v>
      </c>
      <c r="I354" s="93"/>
      <c r="J354" s="93"/>
      <c r="K354" s="93"/>
      <c r="L354" s="93"/>
      <c r="M354" s="95"/>
      <c r="N354" s="95"/>
      <c r="O354" s="95"/>
      <c r="P354" s="95"/>
      <c r="Q354" s="11" t="s">
        <v>69</v>
      </c>
      <c r="R354" s="11" t="s">
        <v>1283</v>
      </c>
      <c r="S354" s="11" t="s">
        <v>249</v>
      </c>
      <c r="T354" s="97"/>
    </row>
    <row r="355" spans="1:21" ht="138" x14ac:dyDescent="0.35">
      <c r="A355" s="56"/>
      <c r="B355" s="59" t="s">
        <v>2119</v>
      </c>
      <c r="C355" s="6" t="s">
        <v>0</v>
      </c>
      <c r="D355" s="7" t="s">
        <v>207</v>
      </c>
      <c r="E355" s="8" t="s">
        <v>208</v>
      </c>
      <c r="F355" s="9" t="s">
        <v>2115</v>
      </c>
      <c r="G355" s="9" t="s">
        <v>5</v>
      </c>
      <c r="H355" s="47" t="s">
        <v>265</v>
      </c>
      <c r="I355" s="9" t="s">
        <v>598</v>
      </c>
      <c r="J355" s="9" t="s">
        <v>597</v>
      </c>
      <c r="K355" s="9" t="s">
        <v>599</v>
      </c>
      <c r="L355" s="9" t="s">
        <v>290</v>
      </c>
      <c r="M355" s="10"/>
      <c r="N355" s="10"/>
      <c r="O355" s="10"/>
      <c r="P355" s="10"/>
      <c r="Q355" s="11" t="s">
        <v>69</v>
      </c>
      <c r="R355" s="11" t="s">
        <v>69</v>
      </c>
      <c r="S355" s="11" t="s">
        <v>2120</v>
      </c>
      <c r="T355" s="76"/>
      <c r="U355" s="115" t="s">
        <v>1299</v>
      </c>
    </row>
    <row r="356" spans="1:21" ht="69" x14ac:dyDescent="0.35">
      <c r="A356" s="56"/>
      <c r="B356" s="59" t="s">
        <v>37</v>
      </c>
      <c r="C356" s="12" t="s">
        <v>1</v>
      </c>
      <c r="D356" s="13" t="s">
        <v>209</v>
      </c>
      <c r="E356" s="14" t="s">
        <v>210</v>
      </c>
      <c r="F356" s="15" t="s">
        <v>2037</v>
      </c>
      <c r="G356" s="15" t="s">
        <v>5</v>
      </c>
      <c r="H356" s="48" t="s">
        <v>265</v>
      </c>
      <c r="I356" s="15" t="s">
        <v>601</v>
      </c>
      <c r="J356" s="15" t="s">
        <v>600</v>
      </c>
      <c r="K356" s="15" t="s">
        <v>602</v>
      </c>
      <c r="L356" s="15" t="s">
        <v>603</v>
      </c>
      <c r="M356" s="10" t="s">
        <v>69</v>
      </c>
      <c r="N356" s="10" t="s">
        <v>69</v>
      </c>
      <c r="O356" s="10" t="s">
        <v>211</v>
      </c>
      <c r="P356" s="10" t="s">
        <v>69</v>
      </c>
      <c r="Q356" s="11" t="s">
        <v>69</v>
      </c>
      <c r="R356" s="11" t="s">
        <v>69</v>
      </c>
      <c r="S356" s="11"/>
      <c r="T356" s="77"/>
    </row>
    <row r="357" spans="1:21" ht="46" x14ac:dyDescent="0.35">
      <c r="A357" s="56"/>
      <c r="B357" s="59" t="s">
        <v>2042</v>
      </c>
      <c r="C357" s="16" t="s">
        <v>2</v>
      </c>
      <c r="D357" s="17" t="s">
        <v>212</v>
      </c>
      <c r="E357" s="18" t="s">
        <v>2045</v>
      </c>
      <c r="F357" s="19" t="s">
        <v>2038</v>
      </c>
      <c r="G357" s="19" t="s">
        <v>5</v>
      </c>
      <c r="H357" s="49" t="s">
        <v>264</v>
      </c>
      <c r="I357" s="19"/>
      <c r="J357" s="19"/>
      <c r="K357" s="19"/>
      <c r="L357" s="19"/>
      <c r="M357" s="10" t="s">
        <v>69</v>
      </c>
      <c r="N357" s="10" t="s">
        <v>69</v>
      </c>
      <c r="O357" s="10" t="s">
        <v>211</v>
      </c>
      <c r="P357" s="10" t="s">
        <v>69</v>
      </c>
      <c r="Q357" s="11" t="s">
        <v>1717</v>
      </c>
      <c r="R357" s="11" t="s">
        <v>69</v>
      </c>
      <c r="S357" s="11"/>
      <c r="T357" s="77"/>
    </row>
    <row r="358" spans="1:21" ht="57.5" x14ac:dyDescent="0.35">
      <c r="A358" s="56"/>
      <c r="B358" s="59" t="s">
        <v>2042</v>
      </c>
      <c r="C358" s="20" t="s">
        <v>3</v>
      </c>
      <c r="D358" s="21" t="s">
        <v>864</v>
      </c>
      <c r="E358" s="22" t="s">
        <v>2039</v>
      </c>
      <c r="F358" s="23" t="s">
        <v>2046</v>
      </c>
      <c r="G358" s="23" t="s">
        <v>5</v>
      </c>
      <c r="H358" s="50" t="s">
        <v>264</v>
      </c>
      <c r="I358" s="23" t="s">
        <v>930</v>
      </c>
      <c r="J358" s="23" t="s">
        <v>931</v>
      </c>
      <c r="K358" s="23" t="s">
        <v>932</v>
      </c>
      <c r="L358" s="23" t="s">
        <v>933</v>
      </c>
      <c r="M358" s="10" t="s">
        <v>69</v>
      </c>
      <c r="N358" s="10" t="s">
        <v>69</v>
      </c>
      <c r="O358" s="10" t="s">
        <v>211</v>
      </c>
      <c r="P358" s="10" t="s">
        <v>69</v>
      </c>
      <c r="Q358" s="11" t="s">
        <v>1717</v>
      </c>
      <c r="R358" s="11" t="s">
        <v>69</v>
      </c>
      <c r="S358" s="11"/>
      <c r="T358" s="77"/>
    </row>
    <row r="359" spans="1:21" ht="46" x14ac:dyDescent="0.35">
      <c r="A359" s="56"/>
      <c r="B359" s="59" t="s">
        <v>2042</v>
      </c>
      <c r="C359" s="20" t="s">
        <v>3</v>
      </c>
      <c r="D359" s="21" t="s">
        <v>2041</v>
      </c>
      <c r="E359" s="22" t="s">
        <v>865</v>
      </c>
      <c r="F359" s="23" t="s">
        <v>2040</v>
      </c>
      <c r="G359" s="23" t="s">
        <v>5</v>
      </c>
      <c r="H359" s="50" t="s">
        <v>264</v>
      </c>
      <c r="I359" s="23"/>
      <c r="J359" s="23"/>
      <c r="K359" s="23"/>
      <c r="L359" s="23"/>
      <c r="M359" s="10" t="s">
        <v>69</v>
      </c>
      <c r="N359" s="10" t="s">
        <v>69</v>
      </c>
      <c r="O359" s="10" t="s">
        <v>211</v>
      </c>
      <c r="P359" s="10" t="s">
        <v>69</v>
      </c>
      <c r="Q359" s="11" t="s">
        <v>1717</v>
      </c>
      <c r="R359" s="11" t="s">
        <v>69</v>
      </c>
      <c r="S359" s="11"/>
      <c r="T359" s="77"/>
    </row>
    <row r="360" spans="1:21" ht="46" x14ac:dyDescent="0.35">
      <c r="A360" s="56"/>
      <c r="B360" s="59" t="s">
        <v>872</v>
      </c>
      <c r="C360" s="16" t="s">
        <v>2</v>
      </c>
      <c r="D360" s="17" t="s">
        <v>213</v>
      </c>
      <c r="E360" s="18" t="s">
        <v>214</v>
      </c>
      <c r="F360" s="19" t="s">
        <v>2047</v>
      </c>
      <c r="G360" s="19" t="s">
        <v>5</v>
      </c>
      <c r="H360" s="49" t="s">
        <v>264</v>
      </c>
      <c r="I360" s="19" t="s">
        <v>605</v>
      </c>
      <c r="J360" s="19" t="s">
        <v>604</v>
      </c>
      <c r="K360" s="19" t="s">
        <v>606</v>
      </c>
      <c r="L360" s="19" t="s">
        <v>607</v>
      </c>
      <c r="M360" s="10" t="s">
        <v>69</v>
      </c>
      <c r="N360" s="10" t="s">
        <v>69</v>
      </c>
      <c r="O360" s="10" t="s">
        <v>211</v>
      </c>
      <c r="P360" s="10" t="s">
        <v>69</v>
      </c>
      <c r="Q360" s="11" t="s">
        <v>1717</v>
      </c>
      <c r="R360" s="11" t="s">
        <v>69</v>
      </c>
      <c r="S360" s="11"/>
      <c r="T360" s="77"/>
    </row>
    <row r="361" spans="1:21" ht="46" x14ac:dyDescent="0.35">
      <c r="A361" s="56"/>
      <c r="B361" s="59" t="s">
        <v>2051</v>
      </c>
      <c r="C361" s="20" t="s">
        <v>3</v>
      </c>
      <c r="D361" s="21" t="s">
        <v>866</v>
      </c>
      <c r="E361" s="22" t="s">
        <v>869</v>
      </c>
      <c r="F361" s="23" t="s">
        <v>2048</v>
      </c>
      <c r="G361" s="23" t="s">
        <v>5</v>
      </c>
      <c r="H361" s="50" t="s">
        <v>264</v>
      </c>
      <c r="I361" s="23" t="s">
        <v>605</v>
      </c>
      <c r="J361" s="23" t="s">
        <v>934</v>
      </c>
      <c r="K361" s="23" t="s">
        <v>935</v>
      </c>
      <c r="L361" s="23" t="s">
        <v>607</v>
      </c>
      <c r="M361" s="10" t="s">
        <v>69</v>
      </c>
      <c r="N361" s="10" t="s">
        <v>69</v>
      </c>
      <c r="O361" s="10" t="s">
        <v>211</v>
      </c>
      <c r="P361" s="10" t="s">
        <v>69</v>
      </c>
      <c r="Q361" s="11" t="s">
        <v>1717</v>
      </c>
      <c r="R361" s="11" t="s">
        <v>69</v>
      </c>
      <c r="S361" s="11"/>
      <c r="T361" s="77"/>
    </row>
    <row r="362" spans="1:21" ht="46" x14ac:dyDescent="0.35">
      <c r="A362" s="56"/>
      <c r="B362" s="59" t="s">
        <v>872</v>
      </c>
      <c r="C362" s="20" t="s">
        <v>3</v>
      </c>
      <c r="D362" s="21" t="s">
        <v>867</v>
      </c>
      <c r="E362" s="22" t="s">
        <v>870</v>
      </c>
      <c r="F362" s="23" t="s">
        <v>2043</v>
      </c>
      <c r="G362" s="23" t="s">
        <v>5</v>
      </c>
      <c r="H362" s="50" t="s">
        <v>264</v>
      </c>
      <c r="I362" s="23" t="s">
        <v>936</v>
      </c>
      <c r="J362" s="23" t="s">
        <v>937</v>
      </c>
      <c r="K362" s="23" t="s">
        <v>938</v>
      </c>
      <c r="L362" s="23" t="s">
        <v>939</v>
      </c>
      <c r="M362" s="10" t="s">
        <v>69</v>
      </c>
      <c r="N362" s="10" t="s">
        <v>69</v>
      </c>
      <c r="O362" s="10" t="s">
        <v>211</v>
      </c>
      <c r="P362" s="10" t="s">
        <v>69</v>
      </c>
      <c r="Q362" s="11" t="s">
        <v>1717</v>
      </c>
      <c r="R362" s="11" t="s">
        <v>69</v>
      </c>
      <c r="S362" s="11"/>
      <c r="T362" s="77"/>
    </row>
    <row r="363" spans="1:21" ht="23" x14ac:dyDescent="0.35">
      <c r="A363" s="56"/>
      <c r="B363" s="59" t="s">
        <v>872</v>
      </c>
      <c r="C363" s="20" t="s">
        <v>3</v>
      </c>
      <c r="D363" s="21" t="s">
        <v>868</v>
      </c>
      <c r="E363" s="22" t="s">
        <v>871</v>
      </c>
      <c r="F363" s="23" t="s">
        <v>2049</v>
      </c>
      <c r="G363" s="23" t="s">
        <v>5</v>
      </c>
      <c r="H363" s="50" t="s">
        <v>264</v>
      </c>
      <c r="I363" s="23"/>
      <c r="J363" s="23"/>
      <c r="K363" s="23"/>
      <c r="L363" s="23"/>
      <c r="M363" s="10" t="s">
        <v>69</v>
      </c>
      <c r="N363" s="10" t="s">
        <v>69</v>
      </c>
      <c r="O363" s="10" t="s">
        <v>211</v>
      </c>
      <c r="P363" s="10" t="s">
        <v>69</v>
      </c>
      <c r="Q363" s="11" t="s">
        <v>1717</v>
      </c>
      <c r="R363" s="11" t="s">
        <v>69</v>
      </c>
      <c r="S363" s="11"/>
      <c r="T363" s="77"/>
    </row>
    <row r="364" spans="1:21" ht="34.5" x14ac:dyDescent="0.35">
      <c r="A364" s="56"/>
      <c r="B364" s="59" t="s">
        <v>872</v>
      </c>
      <c r="C364" s="20" t="s">
        <v>3</v>
      </c>
      <c r="D364" s="21" t="s">
        <v>873</v>
      </c>
      <c r="E364" s="22" t="s">
        <v>2044</v>
      </c>
      <c r="F364" s="23" t="s">
        <v>2050</v>
      </c>
      <c r="G364" s="23" t="s">
        <v>5</v>
      </c>
      <c r="H364" s="50" t="s">
        <v>264</v>
      </c>
      <c r="I364" s="23"/>
      <c r="J364" s="23"/>
      <c r="K364" s="23"/>
      <c r="L364" s="23"/>
      <c r="M364" s="10" t="s">
        <v>69</v>
      </c>
      <c r="N364" s="10" t="s">
        <v>69</v>
      </c>
      <c r="O364" s="10" t="s">
        <v>211</v>
      </c>
      <c r="P364" s="10" t="s">
        <v>69</v>
      </c>
      <c r="Q364" s="11" t="s">
        <v>1717</v>
      </c>
      <c r="R364" s="11" t="s">
        <v>69</v>
      </c>
      <c r="S364" s="11"/>
      <c r="T364" s="77"/>
    </row>
    <row r="365" spans="1:21" ht="46" x14ac:dyDescent="0.35">
      <c r="A365" s="56"/>
      <c r="B365" s="59" t="s">
        <v>872</v>
      </c>
      <c r="C365" s="16" t="s">
        <v>2</v>
      </c>
      <c r="D365" s="17" t="s">
        <v>215</v>
      </c>
      <c r="E365" s="18" t="s">
        <v>216</v>
      </c>
      <c r="F365" s="19" t="s">
        <v>2052</v>
      </c>
      <c r="G365" s="111" t="str">
        <f>"Decision 
If yes, proceed to step "&amp;D366&amp;" 
If no, proceed to "&amp;D371&amp;""</f>
        <v>Decision 
If yes, proceed to step 6.1.4 
If no, proceed to 6.1.5</v>
      </c>
      <c r="H365" s="49" t="s">
        <v>264</v>
      </c>
      <c r="I365" s="19"/>
      <c r="J365" s="19"/>
      <c r="K365" s="19"/>
      <c r="L365" s="19"/>
      <c r="M365" s="10" t="s">
        <v>69</v>
      </c>
      <c r="N365" s="10" t="s">
        <v>69</v>
      </c>
      <c r="O365" s="10" t="s">
        <v>211</v>
      </c>
      <c r="P365" s="10" t="s">
        <v>69</v>
      </c>
      <c r="Q365" s="11" t="s">
        <v>1717</v>
      </c>
      <c r="R365" s="11" t="s">
        <v>69</v>
      </c>
      <c r="S365" s="11"/>
      <c r="T365" s="77"/>
    </row>
    <row r="366" spans="1:21" ht="46" x14ac:dyDescent="0.35">
      <c r="A366" s="56"/>
      <c r="B366" s="59" t="s">
        <v>872</v>
      </c>
      <c r="C366" s="16" t="s">
        <v>2</v>
      </c>
      <c r="D366" s="17" t="s">
        <v>217</v>
      </c>
      <c r="E366" s="18" t="s">
        <v>218</v>
      </c>
      <c r="F366" s="19" t="s">
        <v>2053</v>
      </c>
      <c r="G366" s="19" t="s">
        <v>5</v>
      </c>
      <c r="H366" s="49" t="s">
        <v>265</v>
      </c>
      <c r="I366" s="19"/>
      <c r="J366" s="19"/>
      <c r="K366" s="19"/>
      <c r="L366" s="19"/>
      <c r="M366" s="10" t="s">
        <v>69</v>
      </c>
      <c r="N366" s="10" t="s">
        <v>69</v>
      </c>
      <c r="O366" s="10" t="s">
        <v>211</v>
      </c>
      <c r="P366" s="10" t="s">
        <v>69</v>
      </c>
      <c r="Q366" s="11" t="s">
        <v>69</v>
      </c>
      <c r="R366" s="11" t="s">
        <v>69</v>
      </c>
      <c r="S366" s="11" t="s">
        <v>1283</v>
      </c>
      <c r="T366" s="77"/>
    </row>
    <row r="367" spans="1:21" ht="46" x14ac:dyDescent="0.35">
      <c r="A367" s="56"/>
      <c r="B367" s="59" t="s">
        <v>872</v>
      </c>
      <c r="C367" s="20" t="s">
        <v>3</v>
      </c>
      <c r="D367" s="21" t="s">
        <v>875</v>
      </c>
      <c r="E367" s="22" t="s">
        <v>874</v>
      </c>
      <c r="F367" s="23" t="s">
        <v>2054</v>
      </c>
      <c r="G367" s="23" t="s">
        <v>5</v>
      </c>
      <c r="H367" s="50" t="s">
        <v>267</v>
      </c>
      <c r="I367" s="23"/>
      <c r="J367" s="23"/>
      <c r="K367" s="23"/>
      <c r="L367" s="23"/>
      <c r="M367" s="10" t="s">
        <v>69</v>
      </c>
      <c r="N367" s="10" t="s">
        <v>69</v>
      </c>
      <c r="O367" s="10" t="s">
        <v>211</v>
      </c>
      <c r="P367" s="10" t="s">
        <v>69</v>
      </c>
      <c r="Q367" s="11" t="s">
        <v>69</v>
      </c>
      <c r="R367" s="11" t="s">
        <v>69</v>
      </c>
      <c r="S367" s="11"/>
      <c r="T367" s="77"/>
    </row>
    <row r="368" spans="1:21" ht="46" x14ac:dyDescent="0.35">
      <c r="A368" s="56"/>
      <c r="B368" s="59" t="s">
        <v>872</v>
      </c>
      <c r="C368" s="20" t="s">
        <v>3</v>
      </c>
      <c r="D368" s="21" t="s">
        <v>876</v>
      </c>
      <c r="E368" s="22" t="s">
        <v>878</v>
      </c>
      <c r="F368" s="23" t="s">
        <v>2055</v>
      </c>
      <c r="G368" s="23" t="s">
        <v>5</v>
      </c>
      <c r="H368" s="50" t="s">
        <v>267</v>
      </c>
      <c r="I368" s="23"/>
      <c r="J368" s="23"/>
      <c r="K368" s="23"/>
      <c r="L368" s="23"/>
      <c r="M368" s="10" t="s">
        <v>69</v>
      </c>
      <c r="N368" s="10" t="s">
        <v>69</v>
      </c>
      <c r="O368" s="10" t="s">
        <v>211</v>
      </c>
      <c r="P368" s="10" t="s">
        <v>69</v>
      </c>
      <c r="Q368" s="11" t="s">
        <v>69</v>
      </c>
      <c r="R368" s="11" t="s">
        <v>69</v>
      </c>
      <c r="S368" s="11" t="s">
        <v>1283</v>
      </c>
      <c r="T368" s="77"/>
    </row>
    <row r="369" spans="1:20" ht="34.5" x14ac:dyDescent="0.35">
      <c r="A369" s="56"/>
      <c r="B369" s="59" t="s">
        <v>872</v>
      </c>
      <c r="C369" s="20" t="s">
        <v>3</v>
      </c>
      <c r="D369" s="21" t="s">
        <v>877</v>
      </c>
      <c r="E369" s="22" t="s">
        <v>879</v>
      </c>
      <c r="F369" s="23" t="s">
        <v>2056</v>
      </c>
      <c r="G369" s="23" t="s">
        <v>5</v>
      </c>
      <c r="H369" s="50" t="s">
        <v>267</v>
      </c>
      <c r="I369" s="23"/>
      <c r="J369" s="23"/>
      <c r="K369" s="23"/>
      <c r="L369" s="23"/>
      <c r="M369" s="10" t="s">
        <v>69</v>
      </c>
      <c r="N369" s="10" t="s">
        <v>69</v>
      </c>
      <c r="O369" s="10" t="s">
        <v>211</v>
      </c>
      <c r="P369" s="10" t="s">
        <v>69</v>
      </c>
      <c r="Q369" s="11" t="s">
        <v>69</v>
      </c>
      <c r="R369" s="11" t="s">
        <v>69</v>
      </c>
      <c r="S369" s="11"/>
      <c r="T369" s="77"/>
    </row>
    <row r="370" spans="1:20" ht="23" x14ac:dyDescent="0.35">
      <c r="A370" s="56"/>
      <c r="B370" s="59" t="s">
        <v>37</v>
      </c>
      <c r="C370" s="20" t="s">
        <v>3</v>
      </c>
      <c r="D370" s="21" t="s">
        <v>881</v>
      </c>
      <c r="E370" s="22" t="s">
        <v>880</v>
      </c>
      <c r="F370" s="23" t="s">
        <v>2057</v>
      </c>
      <c r="G370" s="23" t="s">
        <v>5</v>
      </c>
      <c r="H370" s="50" t="s">
        <v>265</v>
      </c>
      <c r="I370" s="23"/>
      <c r="J370" s="23"/>
      <c r="K370" s="23"/>
      <c r="L370" s="23"/>
      <c r="M370" s="10" t="s">
        <v>69</v>
      </c>
      <c r="N370" s="10" t="s">
        <v>69</v>
      </c>
      <c r="O370" s="10" t="s">
        <v>211</v>
      </c>
      <c r="P370" s="10" t="s">
        <v>69</v>
      </c>
      <c r="Q370" s="11" t="s">
        <v>69</v>
      </c>
      <c r="R370" s="11" t="s">
        <v>69</v>
      </c>
      <c r="S370" s="11"/>
      <c r="T370" s="77"/>
    </row>
    <row r="371" spans="1:20" ht="46" x14ac:dyDescent="0.35">
      <c r="A371" s="56"/>
      <c r="B371" s="59" t="s">
        <v>37</v>
      </c>
      <c r="C371" s="16" t="s">
        <v>2</v>
      </c>
      <c r="D371" s="17" t="s">
        <v>219</v>
      </c>
      <c r="E371" s="18" t="s">
        <v>220</v>
      </c>
      <c r="F371" s="19" t="s">
        <v>2058</v>
      </c>
      <c r="G371" s="19" t="s">
        <v>5</v>
      </c>
      <c r="H371" s="150" t="s">
        <v>265</v>
      </c>
      <c r="I371" s="19"/>
      <c r="J371" s="19"/>
      <c r="K371" s="19"/>
      <c r="L371" s="19"/>
      <c r="M371" s="10" t="s">
        <v>69</v>
      </c>
      <c r="N371" s="10" t="s">
        <v>69</v>
      </c>
      <c r="O371" s="10" t="s">
        <v>211</v>
      </c>
      <c r="P371" s="10" t="s">
        <v>69</v>
      </c>
      <c r="Q371" s="11" t="s">
        <v>69</v>
      </c>
      <c r="R371" s="11" t="s">
        <v>69</v>
      </c>
      <c r="S371" s="11"/>
      <c r="T371" s="77"/>
    </row>
    <row r="372" spans="1:20" ht="34.5" x14ac:dyDescent="0.35">
      <c r="A372" s="56"/>
      <c r="B372" s="59" t="s">
        <v>37</v>
      </c>
      <c r="C372" s="20" t="s">
        <v>3</v>
      </c>
      <c r="D372" s="21" t="s">
        <v>882</v>
      </c>
      <c r="E372" s="22" t="s">
        <v>885</v>
      </c>
      <c r="F372" s="23" t="s">
        <v>2059</v>
      </c>
      <c r="G372" s="23" t="s">
        <v>5</v>
      </c>
      <c r="H372" s="50" t="s">
        <v>264</v>
      </c>
      <c r="I372" s="23"/>
      <c r="J372" s="23"/>
      <c r="K372" s="23"/>
      <c r="L372" s="23"/>
      <c r="M372" s="10" t="s">
        <v>69</v>
      </c>
      <c r="N372" s="10" t="s">
        <v>69</v>
      </c>
      <c r="O372" s="10" t="s">
        <v>211</v>
      </c>
      <c r="P372" s="10" t="s">
        <v>69</v>
      </c>
      <c r="Q372" s="11" t="s">
        <v>1717</v>
      </c>
      <c r="R372" s="11" t="s">
        <v>69</v>
      </c>
      <c r="S372" s="11"/>
      <c r="T372" s="77"/>
    </row>
    <row r="373" spans="1:20" ht="34.5" x14ac:dyDescent="0.35">
      <c r="A373" s="56"/>
      <c r="B373" s="59" t="s">
        <v>37</v>
      </c>
      <c r="C373" s="20" t="s">
        <v>3</v>
      </c>
      <c r="D373" s="21" t="s">
        <v>883</v>
      </c>
      <c r="E373" s="22" t="s">
        <v>886</v>
      </c>
      <c r="F373" s="23" t="s">
        <v>2060</v>
      </c>
      <c r="G373" s="23" t="s">
        <v>5</v>
      </c>
      <c r="H373" s="50" t="s">
        <v>267</v>
      </c>
      <c r="I373" s="23"/>
      <c r="J373" s="23"/>
      <c r="K373" s="23"/>
      <c r="L373" s="23"/>
      <c r="M373" s="10" t="s">
        <v>69</v>
      </c>
      <c r="N373" s="10" t="s">
        <v>69</v>
      </c>
      <c r="O373" s="10" t="s">
        <v>211</v>
      </c>
      <c r="P373" s="10" t="s">
        <v>69</v>
      </c>
      <c r="Q373" s="11" t="s">
        <v>69</v>
      </c>
      <c r="R373" s="11" t="s">
        <v>69</v>
      </c>
      <c r="S373" s="11"/>
      <c r="T373" s="77"/>
    </row>
    <row r="374" spans="1:20" ht="34.5" x14ac:dyDescent="0.35">
      <c r="A374" s="56"/>
      <c r="B374" s="59" t="s">
        <v>37</v>
      </c>
      <c r="C374" s="20" t="s">
        <v>3</v>
      </c>
      <c r="D374" s="21" t="s">
        <v>884</v>
      </c>
      <c r="E374" s="22" t="s">
        <v>887</v>
      </c>
      <c r="F374" s="23" t="s">
        <v>2061</v>
      </c>
      <c r="G374" s="23" t="s">
        <v>5</v>
      </c>
      <c r="H374" s="50" t="s">
        <v>265</v>
      </c>
      <c r="I374" s="23"/>
      <c r="J374" s="23"/>
      <c r="K374" s="23"/>
      <c r="L374" s="23"/>
      <c r="M374" s="10" t="s">
        <v>69</v>
      </c>
      <c r="N374" s="10" t="s">
        <v>69</v>
      </c>
      <c r="O374" s="10" t="s">
        <v>211</v>
      </c>
      <c r="P374" s="10" t="s">
        <v>69</v>
      </c>
      <c r="Q374" s="11" t="s">
        <v>69</v>
      </c>
      <c r="R374" s="11" t="s">
        <v>69</v>
      </c>
      <c r="S374" s="11"/>
      <c r="T374" s="77"/>
    </row>
    <row r="375" spans="1:20" ht="103.5" x14ac:dyDescent="0.35">
      <c r="A375" s="56"/>
      <c r="B375" s="59" t="s">
        <v>223</v>
      </c>
      <c r="C375" s="12" t="s">
        <v>1</v>
      </c>
      <c r="D375" s="13" t="s">
        <v>221</v>
      </c>
      <c r="E375" s="14" t="s">
        <v>222</v>
      </c>
      <c r="F375" s="15" t="s">
        <v>2062</v>
      </c>
      <c r="G375" s="15" t="s">
        <v>5</v>
      </c>
      <c r="H375" s="48" t="s">
        <v>265</v>
      </c>
      <c r="I375" s="15" t="s">
        <v>609</v>
      </c>
      <c r="J375" s="15" t="s">
        <v>608</v>
      </c>
      <c r="K375" s="15" t="s">
        <v>610</v>
      </c>
      <c r="L375" s="15" t="s">
        <v>611</v>
      </c>
      <c r="M375" s="10" t="s">
        <v>69</v>
      </c>
      <c r="N375" s="10" t="s">
        <v>69</v>
      </c>
      <c r="O375" s="10" t="s">
        <v>69</v>
      </c>
      <c r="P375" s="10" t="s">
        <v>69</v>
      </c>
      <c r="Q375" s="11" t="s">
        <v>69</v>
      </c>
      <c r="R375" s="11" t="s">
        <v>69</v>
      </c>
      <c r="S375" s="11" t="s">
        <v>1283</v>
      </c>
      <c r="T375" s="77"/>
    </row>
    <row r="376" spans="1:20" ht="34.5" x14ac:dyDescent="0.35">
      <c r="A376" s="56"/>
      <c r="B376" s="59" t="s">
        <v>892</v>
      </c>
      <c r="C376" s="16" t="s">
        <v>2</v>
      </c>
      <c r="D376" s="17" t="s">
        <v>224</v>
      </c>
      <c r="E376" s="18" t="s">
        <v>225</v>
      </c>
      <c r="F376" s="19" t="s">
        <v>2063</v>
      </c>
      <c r="G376" s="19" t="s">
        <v>5</v>
      </c>
      <c r="H376" s="49" t="s">
        <v>264</v>
      </c>
      <c r="I376" s="19"/>
      <c r="J376" s="19"/>
      <c r="K376" s="19"/>
      <c r="L376" s="19"/>
      <c r="M376" s="10" t="s">
        <v>69</v>
      </c>
      <c r="N376" s="10" t="s">
        <v>69</v>
      </c>
      <c r="O376" s="10" t="s">
        <v>69</v>
      </c>
      <c r="P376" s="10" t="s">
        <v>69</v>
      </c>
      <c r="Q376" s="11" t="s">
        <v>1717</v>
      </c>
      <c r="R376" s="11" t="s">
        <v>69</v>
      </c>
      <c r="S376" s="11"/>
      <c r="T376" s="77"/>
    </row>
    <row r="377" spans="1:20" ht="34.5" x14ac:dyDescent="0.35">
      <c r="A377" s="56"/>
      <c r="B377" s="59" t="s">
        <v>892</v>
      </c>
      <c r="C377" s="20" t="s">
        <v>3</v>
      </c>
      <c r="D377" s="21" t="s">
        <v>888</v>
      </c>
      <c r="E377" s="22" t="s">
        <v>890</v>
      </c>
      <c r="F377" s="23" t="s">
        <v>2064</v>
      </c>
      <c r="G377" s="23" t="s">
        <v>5</v>
      </c>
      <c r="H377" s="50" t="s">
        <v>264</v>
      </c>
      <c r="I377" s="23"/>
      <c r="J377" s="23"/>
      <c r="K377" s="23"/>
      <c r="L377" s="23"/>
      <c r="M377" s="10" t="s">
        <v>69</v>
      </c>
      <c r="N377" s="10" t="s">
        <v>69</v>
      </c>
      <c r="O377" s="10" t="s">
        <v>69</v>
      </c>
      <c r="P377" s="10" t="s">
        <v>69</v>
      </c>
      <c r="Q377" s="11" t="s">
        <v>1717</v>
      </c>
      <c r="R377" s="11" t="s">
        <v>69</v>
      </c>
      <c r="S377" s="11"/>
      <c r="T377" s="77"/>
    </row>
    <row r="378" spans="1:20" ht="46" x14ac:dyDescent="0.35">
      <c r="A378" s="56"/>
      <c r="B378" s="59" t="s">
        <v>892</v>
      </c>
      <c r="C378" s="20" t="s">
        <v>3</v>
      </c>
      <c r="D378" s="21" t="s">
        <v>889</v>
      </c>
      <c r="E378" s="22" t="s">
        <v>891</v>
      </c>
      <c r="F378" s="23" t="s">
        <v>2065</v>
      </c>
      <c r="G378" s="23" t="s">
        <v>5</v>
      </c>
      <c r="H378" s="50" t="s">
        <v>264</v>
      </c>
      <c r="I378" s="23"/>
      <c r="J378" s="23"/>
      <c r="K378" s="23"/>
      <c r="L378" s="23"/>
      <c r="M378" s="10" t="s">
        <v>69</v>
      </c>
      <c r="N378" s="10" t="s">
        <v>69</v>
      </c>
      <c r="O378" s="10" t="s">
        <v>69</v>
      </c>
      <c r="P378" s="10" t="s">
        <v>69</v>
      </c>
      <c r="Q378" s="11" t="s">
        <v>1717</v>
      </c>
      <c r="R378" s="11" t="s">
        <v>69</v>
      </c>
      <c r="S378" s="11"/>
      <c r="T378" s="77"/>
    </row>
    <row r="379" spans="1:20" ht="46" x14ac:dyDescent="0.35">
      <c r="A379" s="56"/>
      <c r="B379" s="59" t="s">
        <v>2071</v>
      </c>
      <c r="C379" s="16" t="s">
        <v>2</v>
      </c>
      <c r="D379" s="17" t="s">
        <v>226</v>
      </c>
      <c r="E379" s="18" t="s">
        <v>227</v>
      </c>
      <c r="F379" s="19" t="s">
        <v>2066</v>
      </c>
      <c r="G379" s="19" t="s">
        <v>5</v>
      </c>
      <c r="H379" s="49" t="s">
        <v>265</v>
      </c>
      <c r="I379" s="19"/>
      <c r="J379" s="19"/>
      <c r="K379" s="19"/>
      <c r="L379" s="19"/>
      <c r="M379" s="10" t="s">
        <v>69</v>
      </c>
      <c r="N379" s="10" t="s">
        <v>69</v>
      </c>
      <c r="O379" s="10" t="s">
        <v>69</v>
      </c>
      <c r="P379" s="10" t="s">
        <v>69</v>
      </c>
      <c r="Q379" s="11" t="s">
        <v>69</v>
      </c>
      <c r="R379" s="11" t="s">
        <v>69</v>
      </c>
      <c r="S379" s="11"/>
      <c r="T379" s="77"/>
    </row>
    <row r="380" spans="1:20" ht="34.5" x14ac:dyDescent="0.35">
      <c r="A380" s="56"/>
      <c r="B380" s="59" t="s">
        <v>892</v>
      </c>
      <c r="C380" s="20" t="s">
        <v>3</v>
      </c>
      <c r="D380" s="21" t="s">
        <v>894</v>
      </c>
      <c r="E380" s="22" t="s">
        <v>897</v>
      </c>
      <c r="F380" s="23" t="s">
        <v>2067</v>
      </c>
      <c r="G380" s="23" t="s">
        <v>5</v>
      </c>
      <c r="H380" s="50" t="s">
        <v>264</v>
      </c>
      <c r="I380" s="23" t="s">
        <v>940</v>
      </c>
      <c r="J380" s="23" t="s">
        <v>941</v>
      </c>
      <c r="K380" s="23" t="s">
        <v>942</v>
      </c>
      <c r="L380" s="23" t="s">
        <v>943</v>
      </c>
      <c r="M380" s="10" t="s">
        <v>69</v>
      </c>
      <c r="N380" s="10" t="s">
        <v>69</v>
      </c>
      <c r="O380" s="10" t="s">
        <v>69</v>
      </c>
      <c r="P380" s="10" t="s">
        <v>69</v>
      </c>
      <c r="Q380" s="11" t="s">
        <v>1717</v>
      </c>
      <c r="R380" s="11" t="s">
        <v>69</v>
      </c>
      <c r="S380" s="11"/>
      <c r="T380" s="77"/>
    </row>
    <row r="381" spans="1:20" ht="46" x14ac:dyDescent="0.35">
      <c r="A381" s="56"/>
      <c r="B381" s="59" t="s">
        <v>899</v>
      </c>
      <c r="C381" s="20" t="s">
        <v>3</v>
      </c>
      <c r="D381" s="21" t="s">
        <v>895</v>
      </c>
      <c r="E381" s="22" t="s">
        <v>2069</v>
      </c>
      <c r="F381" s="23" t="s">
        <v>2068</v>
      </c>
      <c r="G381" s="23" t="s">
        <v>5</v>
      </c>
      <c r="H381" s="50" t="s">
        <v>267</v>
      </c>
      <c r="I381" s="23"/>
      <c r="J381" s="23"/>
      <c r="K381" s="23"/>
      <c r="L381" s="23"/>
      <c r="M381" s="10"/>
      <c r="N381" s="10"/>
      <c r="O381" s="10"/>
      <c r="P381" s="10"/>
      <c r="Q381" s="11" t="s">
        <v>69</v>
      </c>
      <c r="R381" s="11" t="s">
        <v>69</v>
      </c>
      <c r="S381" s="11"/>
      <c r="T381" s="77"/>
    </row>
    <row r="382" spans="1:20" ht="34.5" x14ac:dyDescent="0.35">
      <c r="A382" s="56"/>
      <c r="B382" s="59" t="s">
        <v>892</v>
      </c>
      <c r="C382" s="20" t="s">
        <v>3</v>
      </c>
      <c r="D382" s="21" t="s">
        <v>896</v>
      </c>
      <c r="E382" s="22" t="s">
        <v>893</v>
      </c>
      <c r="F382" s="23" t="s">
        <v>2070</v>
      </c>
      <c r="G382" s="23" t="s">
        <v>5</v>
      </c>
      <c r="H382" s="50" t="s">
        <v>267</v>
      </c>
      <c r="I382" s="23"/>
      <c r="J382" s="23"/>
      <c r="K382" s="23"/>
      <c r="L382" s="23"/>
      <c r="M382" s="10"/>
      <c r="N382" s="10"/>
      <c r="O382" s="10"/>
      <c r="P382" s="10"/>
      <c r="Q382" s="11" t="s">
        <v>69</v>
      </c>
      <c r="R382" s="11" t="s">
        <v>69</v>
      </c>
      <c r="S382" s="11"/>
      <c r="T382" s="77"/>
    </row>
    <row r="383" spans="1:20" ht="46" x14ac:dyDescent="0.35">
      <c r="A383" s="56"/>
      <c r="B383" s="59" t="s">
        <v>892</v>
      </c>
      <c r="C383" s="16" t="s">
        <v>2</v>
      </c>
      <c r="D383" s="17" t="s">
        <v>228</v>
      </c>
      <c r="E383" s="18" t="s">
        <v>229</v>
      </c>
      <c r="F383" s="19" t="s">
        <v>2072</v>
      </c>
      <c r="G383" s="111" t="str">
        <f>"Decision 
If yes, proceed to step "&amp;D384&amp;" 
If no, proceed to "&amp;D392&amp;""</f>
        <v>Decision 
If yes, proceed to step 6.2.4 
If no, proceed to 6.2.6</v>
      </c>
      <c r="H383" s="49" t="s">
        <v>267</v>
      </c>
      <c r="I383" s="19"/>
      <c r="J383" s="19"/>
      <c r="K383" s="19"/>
      <c r="L383" s="19"/>
      <c r="M383" s="10" t="s">
        <v>69</v>
      </c>
      <c r="N383" s="10" t="s">
        <v>69</v>
      </c>
      <c r="O383" s="10" t="s">
        <v>69</v>
      </c>
      <c r="P383" s="10" t="s">
        <v>69</v>
      </c>
      <c r="Q383" s="11" t="s">
        <v>69</v>
      </c>
      <c r="R383" s="11" t="s">
        <v>69</v>
      </c>
      <c r="S383" s="11"/>
      <c r="T383" s="77"/>
    </row>
    <row r="384" spans="1:20" ht="57.5" x14ac:dyDescent="0.35">
      <c r="A384" s="56"/>
      <c r="B384" s="59" t="s">
        <v>892</v>
      </c>
      <c r="C384" s="16" t="s">
        <v>2</v>
      </c>
      <c r="D384" s="17" t="s">
        <v>230</v>
      </c>
      <c r="E384" s="18" t="s">
        <v>231</v>
      </c>
      <c r="F384" s="19" t="s">
        <v>2073</v>
      </c>
      <c r="G384" s="19" t="s">
        <v>5</v>
      </c>
      <c r="H384" s="49" t="s">
        <v>267</v>
      </c>
      <c r="I384" s="19" t="s">
        <v>613</v>
      </c>
      <c r="J384" s="19" t="s">
        <v>612</v>
      </c>
      <c r="K384" s="19" t="s">
        <v>614</v>
      </c>
      <c r="L384" s="19" t="s">
        <v>615</v>
      </c>
      <c r="M384" s="10" t="s">
        <v>69</v>
      </c>
      <c r="N384" s="10" t="s">
        <v>69</v>
      </c>
      <c r="O384" s="10" t="s">
        <v>69</v>
      </c>
      <c r="P384" s="10" t="s">
        <v>69</v>
      </c>
      <c r="Q384" s="11" t="s">
        <v>69</v>
      </c>
      <c r="R384" s="11" t="s">
        <v>69</v>
      </c>
      <c r="S384" s="11" t="s">
        <v>1283</v>
      </c>
      <c r="T384" s="77"/>
    </row>
    <row r="385" spans="1:20" ht="46" x14ac:dyDescent="0.35">
      <c r="A385" s="56"/>
      <c r="B385" s="59" t="s">
        <v>892</v>
      </c>
      <c r="C385" s="20" t="s">
        <v>3</v>
      </c>
      <c r="D385" s="21" t="s">
        <v>2092</v>
      </c>
      <c r="E385" s="22" t="s">
        <v>900</v>
      </c>
      <c r="F385" s="23" t="s">
        <v>2074</v>
      </c>
      <c r="G385" s="23" t="s">
        <v>5</v>
      </c>
      <c r="H385" s="50" t="s">
        <v>265</v>
      </c>
      <c r="I385" s="23" t="s">
        <v>613</v>
      </c>
      <c r="J385" s="23" t="s">
        <v>944</v>
      </c>
      <c r="K385" s="23" t="s">
        <v>945</v>
      </c>
      <c r="L385" s="23" t="s">
        <v>946</v>
      </c>
      <c r="M385" s="10" t="s">
        <v>69</v>
      </c>
      <c r="N385" s="10" t="s">
        <v>69</v>
      </c>
      <c r="O385" s="10" t="s">
        <v>69</v>
      </c>
      <c r="P385" s="10" t="s">
        <v>69</v>
      </c>
      <c r="Q385" s="11" t="s">
        <v>69</v>
      </c>
      <c r="R385" s="11" t="s">
        <v>69</v>
      </c>
      <c r="S385" s="11"/>
      <c r="T385" s="77"/>
    </row>
    <row r="386" spans="1:20" ht="57.5" x14ac:dyDescent="0.35">
      <c r="A386" s="56"/>
      <c r="B386" s="59" t="s">
        <v>892</v>
      </c>
      <c r="C386" s="20" t="s">
        <v>3</v>
      </c>
      <c r="D386" s="21" t="s">
        <v>2093</v>
      </c>
      <c r="E386" s="22" t="s">
        <v>901</v>
      </c>
      <c r="F386" s="23" t="s">
        <v>2075</v>
      </c>
      <c r="G386" s="23" t="s">
        <v>5</v>
      </c>
      <c r="H386" s="50" t="s">
        <v>267</v>
      </c>
      <c r="I386" s="23"/>
      <c r="J386" s="23"/>
      <c r="K386" s="23"/>
      <c r="L386" s="23"/>
      <c r="M386" s="10" t="s">
        <v>69</v>
      </c>
      <c r="N386" s="10" t="s">
        <v>69</v>
      </c>
      <c r="O386" s="10" t="s">
        <v>69</v>
      </c>
      <c r="P386" s="10" t="s">
        <v>69</v>
      </c>
      <c r="Q386" s="11" t="s">
        <v>69</v>
      </c>
      <c r="R386" s="11" t="s">
        <v>69</v>
      </c>
      <c r="S386" s="11"/>
      <c r="T386" s="77"/>
    </row>
    <row r="387" spans="1:20" ht="34.5" x14ac:dyDescent="0.35">
      <c r="A387" s="56"/>
      <c r="B387" s="59" t="s">
        <v>892</v>
      </c>
      <c r="C387" s="20" t="s">
        <v>3</v>
      </c>
      <c r="D387" s="21" t="s">
        <v>2094</v>
      </c>
      <c r="E387" s="22" t="s">
        <v>902</v>
      </c>
      <c r="F387" s="23" t="s">
        <v>2076</v>
      </c>
      <c r="G387" s="23" t="s">
        <v>5</v>
      </c>
      <c r="H387" s="50" t="s">
        <v>267</v>
      </c>
      <c r="I387" s="23"/>
      <c r="J387" s="23" t="s">
        <v>947</v>
      </c>
      <c r="K387" s="23"/>
      <c r="L387" s="23"/>
      <c r="M387" s="10" t="s">
        <v>69</v>
      </c>
      <c r="N387" s="10" t="s">
        <v>69</v>
      </c>
      <c r="O387" s="10" t="s">
        <v>69</v>
      </c>
      <c r="P387" s="10" t="s">
        <v>69</v>
      </c>
      <c r="Q387" s="11" t="s">
        <v>69</v>
      </c>
      <c r="R387" s="11" t="s">
        <v>69</v>
      </c>
      <c r="S387" s="11"/>
      <c r="T387" s="77"/>
    </row>
    <row r="388" spans="1:20" ht="34.5" x14ac:dyDescent="0.35">
      <c r="A388" s="56"/>
      <c r="B388" s="59" t="s">
        <v>892</v>
      </c>
      <c r="C388" s="20" t="s">
        <v>3</v>
      </c>
      <c r="D388" s="21" t="s">
        <v>2095</v>
      </c>
      <c r="E388" s="22" t="s">
        <v>903</v>
      </c>
      <c r="F388" s="145" t="s">
        <v>2077</v>
      </c>
      <c r="G388" s="23" t="s">
        <v>5</v>
      </c>
      <c r="H388" s="50" t="s">
        <v>265</v>
      </c>
      <c r="I388" s="23"/>
      <c r="J388" s="23"/>
      <c r="K388" s="23"/>
      <c r="L388" s="23"/>
      <c r="M388" s="10" t="s">
        <v>69</v>
      </c>
      <c r="N388" s="10" t="s">
        <v>69</v>
      </c>
      <c r="O388" s="10" t="s">
        <v>69</v>
      </c>
      <c r="P388" s="10" t="s">
        <v>69</v>
      </c>
      <c r="Q388" s="11" t="s">
        <v>69</v>
      </c>
      <c r="R388" s="11" t="s">
        <v>69</v>
      </c>
      <c r="S388" s="11"/>
      <c r="T388" s="77"/>
    </row>
    <row r="389" spans="1:20" ht="34.5" x14ac:dyDescent="0.35">
      <c r="A389" s="56"/>
      <c r="B389" s="59" t="s">
        <v>892</v>
      </c>
      <c r="C389" s="16" t="s">
        <v>2</v>
      </c>
      <c r="D389" s="17" t="s">
        <v>232</v>
      </c>
      <c r="E389" s="18" t="s">
        <v>235</v>
      </c>
      <c r="F389" s="19" t="s">
        <v>2082</v>
      </c>
      <c r="G389" s="19" t="s">
        <v>5</v>
      </c>
      <c r="H389" s="49" t="s">
        <v>265</v>
      </c>
      <c r="I389" s="19"/>
      <c r="J389" s="19"/>
      <c r="K389" s="19"/>
      <c r="L389" s="19"/>
      <c r="M389" s="10" t="s">
        <v>69</v>
      </c>
      <c r="N389" s="10" t="s">
        <v>69</v>
      </c>
      <c r="O389" s="10" t="s">
        <v>69</v>
      </c>
      <c r="P389" s="10" t="s">
        <v>69</v>
      </c>
      <c r="Q389" s="11" t="s">
        <v>69</v>
      </c>
      <c r="R389" s="11" t="s">
        <v>69</v>
      </c>
      <c r="S389" s="11"/>
      <c r="T389" s="77"/>
    </row>
    <row r="390" spans="1:20" ht="34.5" x14ac:dyDescent="0.35">
      <c r="A390" s="56"/>
      <c r="B390" s="59" t="s">
        <v>892</v>
      </c>
      <c r="C390" s="20" t="s">
        <v>3</v>
      </c>
      <c r="D390" s="21" t="s">
        <v>904</v>
      </c>
      <c r="E390" s="22" t="s">
        <v>911</v>
      </c>
      <c r="F390" s="23" t="s">
        <v>2083</v>
      </c>
      <c r="G390" s="23" t="s">
        <v>5</v>
      </c>
      <c r="H390" s="50" t="s">
        <v>267</v>
      </c>
      <c r="I390" s="23"/>
      <c r="J390" s="23"/>
      <c r="K390" s="23"/>
      <c r="L390" s="23"/>
      <c r="M390" s="10" t="s">
        <v>69</v>
      </c>
      <c r="N390" s="10" t="s">
        <v>69</v>
      </c>
      <c r="O390" s="10" t="s">
        <v>69</v>
      </c>
      <c r="P390" s="10" t="s">
        <v>69</v>
      </c>
      <c r="Q390" s="11" t="s">
        <v>69</v>
      </c>
      <c r="R390" s="11" t="s">
        <v>69</v>
      </c>
      <c r="S390" s="11"/>
      <c r="T390" s="77"/>
    </row>
    <row r="391" spans="1:20" ht="34.5" x14ac:dyDescent="0.35">
      <c r="A391" s="56"/>
      <c r="B391" s="59" t="s">
        <v>892</v>
      </c>
      <c r="C391" s="20" t="s">
        <v>3</v>
      </c>
      <c r="D391" s="21" t="s">
        <v>905</v>
      </c>
      <c r="E391" s="22" t="s">
        <v>912</v>
      </c>
      <c r="F391" s="23" t="s">
        <v>2084</v>
      </c>
      <c r="G391" s="23" t="s">
        <v>5</v>
      </c>
      <c r="H391" s="50" t="s">
        <v>265</v>
      </c>
      <c r="I391" s="23"/>
      <c r="J391" s="23"/>
      <c r="K391" s="23"/>
      <c r="L391" s="23"/>
      <c r="M391" s="10" t="s">
        <v>69</v>
      </c>
      <c r="N391" s="10" t="s">
        <v>69</v>
      </c>
      <c r="O391" s="10" t="s">
        <v>69</v>
      </c>
      <c r="P391" s="10" t="s">
        <v>69</v>
      </c>
      <c r="Q391" s="11" t="s">
        <v>69</v>
      </c>
      <c r="R391" s="11" t="s">
        <v>69</v>
      </c>
      <c r="S391" s="11"/>
      <c r="T391" s="77"/>
    </row>
    <row r="392" spans="1:20" ht="46" x14ac:dyDescent="0.35">
      <c r="A392" s="56"/>
      <c r="B392" s="59" t="s">
        <v>898</v>
      </c>
      <c r="C392" s="16" t="s">
        <v>2</v>
      </c>
      <c r="D392" s="17" t="s">
        <v>234</v>
      </c>
      <c r="E392" s="18" t="s">
        <v>233</v>
      </c>
      <c r="F392" s="19" t="s">
        <v>2078</v>
      </c>
      <c r="G392" s="19" t="s">
        <v>5</v>
      </c>
      <c r="H392" s="49" t="s">
        <v>265</v>
      </c>
      <c r="I392" s="19" t="s">
        <v>948</v>
      </c>
      <c r="J392" s="19" t="s">
        <v>949</v>
      </c>
      <c r="K392" s="19" t="s">
        <v>950</v>
      </c>
      <c r="L392" s="19" t="s">
        <v>951</v>
      </c>
      <c r="M392" s="10" t="s">
        <v>81</v>
      </c>
      <c r="N392" s="10" t="s">
        <v>81</v>
      </c>
      <c r="O392" s="10" t="s">
        <v>81</v>
      </c>
      <c r="P392" s="10" t="s">
        <v>81</v>
      </c>
      <c r="Q392" s="11" t="s">
        <v>1283</v>
      </c>
      <c r="R392" s="11" t="s">
        <v>1283</v>
      </c>
      <c r="S392" s="11"/>
      <c r="T392" s="77"/>
    </row>
    <row r="393" spans="1:20" ht="34.5" x14ac:dyDescent="0.35">
      <c r="A393" s="56"/>
      <c r="B393" s="59" t="s">
        <v>892</v>
      </c>
      <c r="C393" s="20" t="s">
        <v>3</v>
      </c>
      <c r="D393" s="21" t="s">
        <v>909</v>
      </c>
      <c r="E393" s="22" t="s">
        <v>907</v>
      </c>
      <c r="F393" s="23" t="s">
        <v>2079</v>
      </c>
      <c r="G393" s="23" t="s">
        <v>5</v>
      </c>
      <c r="H393" s="50" t="s">
        <v>264</v>
      </c>
      <c r="I393" s="23"/>
      <c r="J393" s="23"/>
      <c r="K393" s="23"/>
      <c r="L393" s="23"/>
      <c r="M393" s="10" t="s">
        <v>81</v>
      </c>
      <c r="N393" s="10" t="s">
        <v>81</v>
      </c>
      <c r="O393" s="10" t="s">
        <v>81</v>
      </c>
      <c r="P393" s="10" t="s">
        <v>81</v>
      </c>
      <c r="Q393" s="11" t="s">
        <v>1717</v>
      </c>
      <c r="R393" s="11" t="s">
        <v>69</v>
      </c>
      <c r="S393" s="11"/>
      <c r="T393" s="77"/>
    </row>
    <row r="394" spans="1:20" ht="46" x14ac:dyDescent="0.35">
      <c r="A394" s="56"/>
      <c r="B394" s="59" t="s">
        <v>892</v>
      </c>
      <c r="C394" s="20" t="s">
        <v>3</v>
      </c>
      <c r="D394" s="21" t="s">
        <v>910</v>
      </c>
      <c r="E394" s="22" t="s">
        <v>908</v>
      </c>
      <c r="F394" s="23" t="s">
        <v>2096</v>
      </c>
      <c r="G394" s="23" t="s">
        <v>5</v>
      </c>
      <c r="H394" s="50" t="s">
        <v>267</v>
      </c>
      <c r="I394" s="23"/>
      <c r="J394" s="23"/>
      <c r="K394" s="23"/>
      <c r="L394" s="23"/>
      <c r="M394" s="10" t="s">
        <v>81</v>
      </c>
      <c r="N394" s="10" t="s">
        <v>81</v>
      </c>
      <c r="O394" s="10" t="s">
        <v>81</v>
      </c>
      <c r="P394" s="10" t="s">
        <v>81</v>
      </c>
      <c r="Q394" s="11" t="s">
        <v>69</v>
      </c>
      <c r="R394" s="11" t="s">
        <v>69</v>
      </c>
      <c r="S394" s="11" t="s">
        <v>1283</v>
      </c>
      <c r="T394" s="77"/>
    </row>
    <row r="395" spans="1:20" ht="34.5" x14ac:dyDescent="0.35">
      <c r="A395" s="56"/>
      <c r="B395" s="59" t="s">
        <v>899</v>
      </c>
      <c r="C395" s="20" t="s">
        <v>3</v>
      </c>
      <c r="D395" s="21" t="s">
        <v>2097</v>
      </c>
      <c r="E395" s="22" t="s">
        <v>918</v>
      </c>
      <c r="F395" s="23" t="s">
        <v>2080</v>
      </c>
      <c r="G395" s="23" t="s">
        <v>5</v>
      </c>
      <c r="H395" s="50" t="s">
        <v>267</v>
      </c>
      <c r="I395" s="23"/>
      <c r="J395" s="23"/>
      <c r="K395" s="23"/>
      <c r="L395" s="23"/>
      <c r="M395" s="10" t="s">
        <v>81</v>
      </c>
      <c r="N395" s="10" t="s">
        <v>81</v>
      </c>
      <c r="O395" s="10" t="s">
        <v>81</v>
      </c>
      <c r="P395" s="10" t="s">
        <v>81</v>
      </c>
      <c r="Q395" s="11" t="s">
        <v>1283</v>
      </c>
      <c r="R395" s="11" t="s">
        <v>1283</v>
      </c>
      <c r="S395" s="11" t="s">
        <v>69</v>
      </c>
      <c r="T395" s="77"/>
    </row>
    <row r="396" spans="1:20" ht="23" x14ac:dyDescent="0.35">
      <c r="A396" s="56"/>
      <c r="B396" s="59" t="s">
        <v>892</v>
      </c>
      <c r="C396" s="20" t="s">
        <v>3</v>
      </c>
      <c r="D396" s="21" t="s">
        <v>2098</v>
      </c>
      <c r="E396" s="22" t="s">
        <v>906</v>
      </c>
      <c r="F396" s="23" t="s">
        <v>2081</v>
      </c>
      <c r="G396" s="23" t="s">
        <v>5</v>
      </c>
      <c r="H396" s="50" t="s">
        <v>267</v>
      </c>
      <c r="I396" s="23"/>
      <c r="J396" s="23"/>
      <c r="K396" s="23"/>
      <c r="L396" s="23"/>
      <c r="M396" s="10" t="s">
        <v>81</v>
      </c>
      <c r="N396" s="10" t="s">
        <v>81</v>
      </c>
      <c r="O396" s="10" t="s">
        <v>81</v>
      </c>
      <c r="P396" s="10" t="s">
        <v>81</v>
      </c>
      <c r="Q396" s="11" t="s">
        <v>1283</v>
      </c>
      <c r="R396" s="11" t="s">
        <v>1283</v>
      </c>
      <c r="S396" s="11" t="s">
        <v>69</v>
      </c>
      <c r="T396" s="77"/>
    </row>
    <row r="397" spans="1:20" ht="46" x14ac:dyDescent="0.35">
      <c r="A397" s="56"/>
      <c r="B397" s="59" t="s">
        <v>2091</v>
      </c>
      <c r="C397" s="16" t="s">
        <v>2</v>
      </c>
      <c r="D397" s="17" t="s">
        <v>236</v>
      </c>
      <c r="E397" s="18" t="s">
        <v>237</v>
      </c>
      <c r="F397" s="19" t="s">
        <v>2085</v>
      </c>
      <c r="G397" s="111" t="str">
        <f>"Decision 
If yes, proceed to step "&amp;D398&amp;" 
If no, proceed to "&amp;D392&amp;""</f>
        <v>Decision 
If yes, proceed to step 6.2.8 
If no, proceed to 6.2.6</v>
      </c>
      <c r="H397" s="49" t="s">
        <v>265</v>
      </c>
      <c r="I397" s="19"/>
      <c r="J397" s="19"/>
      <c r="K397" s="19"/>
      <c r="L397" s="19"/>
      <c r="M397" s="10" t="s">
        <v>69</v>
      </c>
      <c r="N397" s="10" t="s">
        <v>69</v>
      </c>
      <c r="O397" s="10" t="s">
        <v>69</v>
      </c>
      <c r="P397" s="10" t="s">
        <v>69</v>
      </c>
      <c r="Q397" s="11" t="s">
        <v>69</v>
      </c>
      <c r="R397" s="11" t="s">
        <v>69</v>
      </c>
      <c r="S397" s="11" t="s">
        <v>1283</v>
      </c>
      <c r="T397" s="77"/>
    </row>
    <row r="398" spans="1:20" ht="23" x14ac:dyDescent="0.35">
      <c r="A398" s="56"/>
      <c r="B398" s="59" t="s">
        <v>2091</v>
      </c>
      <c r="C398" s="16" t="s">
        <v>2</v>
      </c>
      <c r="D398" s="17" t="s">
        <v>238</v>
      </c>
      <c r="E398" s="18" t="s">
        <v>239</v>
      </c>
      <c r="F398" s="19" t="s">
        <v>2086</v>
      </c>
      <c r="G398" s="19" t="s">
        <v>5</v>
      </c>
      <c r="H398" s="49" t="s">
        <v>265</v>
      </c>
      <c r="I398" s="19"/>
      <c r="J398" s="19"/>
      <c r="K398" s="19"/>
      <c r="L398" s="19"/>
      <c r="M398" s="10" t="s">
        <v>69</v>
      </c>
      <c r="N398" s="10" t="s">
        <v>69</v>
      </c>
      <c r="O398" s="10" t="s">
        <v>69</v>
      </c>
      <c r="P398" s="10" t="s">
        <v>69</v>
      </c>
      <c r="Q398" s="11" t="s">
        <v>69</v>
      </c>
      <c r="R398" s="11" t="s">
        <v>69</v>
      </c>
      <c r="S398" s="11" t="s">
        <v>1283</v>
      </c>
      <c r="T398" s="77"/>
    </row>
    <row r="399" spans="1:20" ht="46" x14ac:dyDescent="0.35">
      <c r="A399" s="56"/>
      <c r="B399" s="59" t="s">
        <v>2091</v>
      </c>
      <c r="C399" s="20" t="s">
        <v>3</v>
      </c>
      <c r="D399" s="21" t="s">
        <v>913</v>
      </c>
      <c r="E399" s="22" t="s">
        <v>917</v>
      </c>
      <c r="F399" s="23" t="s">
        <v>2087</v>
      </c>
      <c r="G399" s="23" t="s">
        <v>5</v>
      </c>
      <c r="H399" s="50" t="s">
        <v>265</v>
      </c>
      <c r="I399" s="23"/>
      <c r="J399" s="23"/>
      <c r="K399" s="23"/>
      <c r="L399" s="23"/>
      <c r="M399" s="10" t="s">
        <v>69</v>
      </c>
      <c r="N399" s="10" t="s">
        <v>69</v>
      </c>
      <c r="O399" s="10" t="s">
        <v>69</v>
      </c>
      <c r="P399" s="10" t="s">
        <v>69</v>
      </c>
      <c r="Q399" s="11" t="s">
        <v>69</v>
      </c>
      <c r="R399" s="11" t="s">
        <v>69</v>
      </c>
      <c r="S399" s="11"/>
      <c r="T399" s="77"/>
    </row>
    <row r="400" spans="1:20" ht="34.5" x14ac:dyDescent="0.35">
      <c r="A400" s="56"/>
      <c r="B400" s="59" t="s">
        <v>2091</v>
      </c>
      <c r="C400" s="20" t="s">
        <v>3</v>
      </c>
      <c r="D400" s="21" t="s">
        <v>914</v>
      </c>
      <c r="E400" s="22" t="s">
        <v>279</v>
      </c>
      <c r="F400" s="23" t="s">
        <v>2088</v>
      </c>
      <c r="G400" s="23" t="s">
        <v>5</v>
      </c>
      <c r="H400" s="50" t="s">
        <v>265</v>
      </c>
      <c r="I400" s="23"/>
      <c r="J400" s="23"/>
      <c r="K400" s="23"/>
      <c r="L400" s="23"/>
      <c r="M400" s="10" t="s">
        <v>69</v>
      </c>
      <c r="N400" s="10" t="s">
        <v>69</v>
      </c>
      <c r="O400" s="10" t="s">
        <v>69</v>
      </c>
      <c r="P400" s="10" t="s">
        <v>69</v>
      </c>
      <c r="Q400" s="11" t="s">
        <v>69</v>
      </c>
      <c r="R400" s="11" t="s">
        <v>69</v>
      </c>
      <c r="S400" s="11"/>
      <c r="T400" s="77"/>
    </row>
    <row r="401" spans="1:20" ht="34.5" x14ac:dyDescent="0.35">
      <c r="A401" s="56"/>
      <c r="B401" s="59" t="s">
        <v>2091</v>
      </c>
      <c r="C401" s="20" t="s">
        <v>3</v>
      </c>
      <c r="D401" s="21" t="s">
        <v>915</v>
      </c>
      <c r="E401" s="22" t="s">
        <v>916</v>
      </c>
      <c r="F401" s="23" t="s">
        <v>2089</v>
      </c>
      <c r="G401" s="23" t="s">
        <v>5</v>
      </c>
      <c r="H401" s="50" t="s">
        <v>265</v>
      </c>
      <c r="I401" s="23"/>
      <c r="J401" s="23"/>
      <c r="K401" s="23"/>
      <c r="L401" s="23"/>
      <c r="M401" s="10" t="s">
        <v>69</v>
      </c>
      <c r="N401" s="10" t="s">
        <v>69</v>
      </c>
      <c r="O401" s="10" t="s">
        <v>69</v>
      </c>
      <c r="P401" s="10" t="s">
        <v>69</v>
      </c>
      <c r="Q401" s="11" t="s">
        <v>69</v>
      </c>
      <c r="R401" s="11" t="s">
        <v>69</v>
      </c>
      <c r="S401" s="11" t="s">
        <v>1283</v>
      </c>
      <c r="T401" s="77"/>
    </row>
    <row r="402" spans="1:20" ht="92" x14ac:dyDescent="0.35">
      <c r="A402" s="56"/>
      <c r="B402" s="59" t="s">
        <v>2116</v>
      </c>
      <c r="C402" s="12" t="s">
        <v>1</v>
      </c>
      <c r="D402" s="13" t="s">
        <v>240</v>
      </c>
      <c r="E402" s="14" t="s">
        <v>241</v>
      </c>
      <c r="F402" s="15" t="s">
        <v>2099</v>
      </c>
      <c r="G402" s="15" t="s">
        <v>5</v>
      </c>
      <c r="H402" s="48"/>
      <c r="I402" s="15" t="s">
        <v>617</v>
      </c>
      <c r="J402" s="15" t="s">
        <v>616</v>
      </c>
      <c r="K402" s="15" t="s">
        <v>618</v>
      </c>
      <c r="L402" s="15" t="s">
        <v>619</v>
      </c>
      <c r="M402" s="10" t="s">
        <v>81</v>
      </c>
      <c r="N402" s="10" t="s">
        <v>81</v>
      </c>
      <c r="O402" s="10" t="s">
        <v>81</v>
      </c>
      <c r="P402" s="10" t="s">
        <v>81</v>
      </c>
      <c r="Q402" s="11" t="s">
        <v>369</v>
      </c>
      <c r="R402" s="11" t="s">
        <v>369</v>
      </c>
      <c r="S402" s="11" t="s">
        <v>1026</v>
      </c>
      <c r="T402" s="77"/>
    </row>
    <row r="403" spans="1:20" ht="57.5" x14ac:dyDescent="0.35">
      <c r="A403" s="56"/>
      <c r="B403" s="59" t="s">
        <v>2116</v>
      </c>
      <c r="C403" s="16" t="s">
        <v>2</v>
      </c>
      <c r="D403" s="17" t="s">
        <v>242</v>
      </c>
      <c r="E403" s="18" t="s">
        <v>243</v>
      </c>
      <c r="F403" s="19" t="s">
        <v>2100</v>
      </c>
      <c r="G403" s="19" t="s">
        <v>5</v>
      </c>
      <c r="H403" s="49" t="s">
        <v>265</v>
      </c>
      <c r="I403" s="19" t="s">
        <v>621</v>
      </c>
      <c r="J403" s="19" t="s">
        <v>620</v>
      </c>
      <c r="K403" s="19" t="s">
        <v>622</v>
      </c>
      <c r="L403" s="19" t="s">
        <v>623</v>
      </c>
      <c r="M403" s="10" t="s">
        <v>81</v>
      </c>
      <c r="N403" s="10" t="s">
        <v>81</v>
      </c>
      <c r="O403" s="10" t="s">
        <v>81</v>
      </c>
      <c r="P403" s="10" t="s">
        <v>81</v>
      </c>
      <c r="Q403" s="11" t="s">
        <v>369</v>
      </c>
      <c r="R403" s="11" t="s">
        <v>369</v>
      </c>
      <c r="S403" s="11" t="s">
        <v>1026</v>
      </c>
      <c r="T403" s="77"/>
    </row>
    <row r="404" spans="1:20" ht="46" x14ac:dyDescent="0.35">
      <c r="A404" s="56"/>
      <c r="B404" s="59" t="s">
        <v>2109</v>
      </c>
      <c r="C404" s="20" t="s">
        <v>3</v>
      </c>
      <c r="D404" s="21" t="s">
        <v>841</v>
      </c>
      <c r="E404" s="22" t="s">
        <v>845</v>
      </c>
      <c r="F404" s="23" t="s">
        <v>2101</v>
      </c>
      <c r="G404" s="23" t="s">
        <v>5</v>
      </c>
      <c r="H404" s="50" t="s">
        <v>265</v>
      </c>
      <c r="I404" s="23" t="s">
        <v>952</v>
      </c>
      <c r="J404" s="23" t="s">
        <v>953</v>
      </c>
      <c r="K404" s="23" t="s">
        <v>954</v>
      </c>
      <c r="L404" s="23" t="s">
        <v>955</v>
      </c>
      <c r="M404" s="10" t="s">
        <v>81</v>
      </c>
      <c r="N404" s="10" t="s">
        <v>81</v>
      </c>
      <c r="O404" s="10" t="s">
        <v>81</v>
      </c>
      <c r="P404" s="10" t="s">
        <v>81</v>
      </c>
      <c r="Q404" s="11" t="s">
        <v>369</v>
      </c>
      <c r="R404" s="11" t="s">
        <v>369</v>
      </c>
      <c r="S404" s="11" t="s">
        <v>1026</v>
      </c>
      <c r="T404" s="77"/>
    </row>
    <row r="405" spans="1:20" ht="46" x14ac:dyDescent="0.35">
      <c r="A405" s="56"/>
      <c r="B405" s="59" t="s">
        <v>2117</v>
      </c>
      <c r="C405" s="20" t="s">
        <v>3</v>
      </c>
      <c r="D405" s="21" t="s">
        <v>842</v>
      </c>
      <c r="E405" s="22" t="s">
        <v>846</v>
      </c>
      <c r="F405" s="23" t="s">
        <v>2102</v>
      </c>
      <c r="G405" s="23" t="s">
        <v>5</v>
      </c>
      <c r="H405" s="50" t="s">
        <v>267</v>
      </c>
      <c r="I405" s="23" t="s">
        <v>956</v>
      </c>
      <c r="J405" s="23" t="s">
        <v>957</v>
      </c>
      <c r="K405" s="23" t="s">
        <v>958</v>
      </c>
      <c r="L405" s="23" t="s">
        <v>959</v>
      </c>
      <c r="M405" s="10" t="s">
        <v>81</v>
      </c>
      <c r="N405" s="10" t="s">
        <v>81</v>
      </c>
      <c r="O405" s="10" t="s">
        <v>81</v>
      </c>
      <c r="P405" s="10" t="s">
        <v>81</v>
      </c>
      <c r="Q405" s="11" t="s">
        <v>369</v>
      </c>
      <c r="R405" s="11" t="s">
        <v>369</v>
      </c>
      <c r="S405" s="11" t="s">
        <v>1026</v>
      </c>
      <c r="T405" s="77"/>
    </row>
    <row r="406" spans="1:20" ht="46" x14ac:dyDescent="0.35">
      <c r="A406" s="56"/>
      <c r="B406" s="59" t="s">
        <v>2117</v>
      </c>
      <c r="C406" s="20" t="s">
        <v>3</v>
      </c>
      <c r="D406" s="21" t="s">
        <v>843</v>
      </c>
      <c r="E406" s="22" t="s">
        <v>847</v>
      </c>
      <c r="F406" s="23" t="s">
        <v>2103</v>
      </c>
      <c r="G406" s="23" t="s">
        <v>5</v>
      </c>
      <c r="H406" s="50" t="s">
        <v>267</v>
      </c>
      <c r="I406" s="23" t="s">
        <v>956</v>
      </c>
      <c r="J406" s="23" t="s">
        <v>957</v>
      </c>
      <c r="K406" s="23" t="s">
        <v>958</v>
      </c>
      <c r="L406" s="23" t="s">
        <v>959</v>
      </c>
      <c r="M406" s="10" t="s">
        <v>81</v>
      </c>
      <c r="N406" s="10" t="s">
        <v>81</v>
      </c>
      <c r="O406" s="10" t="s">
        <v>81</v>
      </c>
      <c r="P406" s="10" t="s">
        <v>81</v>
      </c>
      <c r="Q406" s="11" t="s">
        <v>369</v>
      </c>
      <c r="R406" s="11" t="s">
        <v>369</v>
      </c>
      <c r="S406" s="11" t="s">
        <v>1026</v>
      </c>
      <c r="T406" s="77"/>
    </row>
    <row r="407" spans="1:20" ht="46" x14ac:dyDescent="0.35">
      <c r="A407" s="56"/>
      <c r="B407" s="59" t="s">
        <v>2116</v>
      </c>
      <c r="C407" s="16" t="s">
        <v>2</v>
      </c>
      <c r="D407" s="17" t="s">
        <v>244</v>
      </c>
      <c r="E407" s="18" t="s">
        <v>245</v>
      </c>
      <c r="F407" s="19" t="s">
        <v>2104</v>
      </c>
      <c r="G407" s="19" t="s">
        <v>5</v>
      </c>
      <c r="H407" s="49" t="s">
        <v>265</v>
      </c>
      <c r="I407" s="19"/>
      <c r="J407" s="19"/>
      <c r="K407" s="19"/>
      <c r="L407" s="19"/>
      <c r="M407" s="10" t="s">
        <v>81</v>
      </c>
      <c r="N407" s="10" t="s">
        <v>81</v>
      </c>
      <c r="O407" s="10" t="s">
        <v>81</v>
      </c>
      <c r="P407" s="10" t="s">
        <v>81</v>
      </c>
      <c r="Q407" s="11" t="s">
        <v>369</v>
      </c>
      <c r="R407" s="11" t="s">
        <v>369</v>
      </c>
      <c r="S407" s="11" t="s">
        <v>1026</v>
      </c>
      <c r="T407" s="77"/>
    </row>
    <row r="408" spans="1:20" ht="23" x14ac:dyDescent="0.35">
      <c r="A408" s="56"/>
      <c r="B408" s="59" t="s">
        <v>2109</v>
      </c>
      <c r="C408" s="20" t="s">
        <v>3</v>
      </c>
      <c r="D408" s="21" t="s">
        <v>848</v>
      </c>
      <c r="E408" s="22" t="s">
        <v>849</v>
      </c>
      <c r="F408" s="23" t="s">
        <v>2105</v>
      </c>
      <c r="G408" s="23" t="s">
        <v>5</v>
      </c>
      <c r="H408" s="50" t="s">
        <v>265</v>
      </c>
      <c r="I408" s="23"/>
      <c r="J408" s="23"/>
      <c r="K408" s="23"/>
      <c r="L408" s="23"/>
      <c r="M408" s="10" t="s">
        <v>81</v>
      </c>
      <c r="N408" s="10" t="s">
        <v>81</v>
      </c>
      <c r="O408" s="10" t="s">
        <v>81</v>
      </c>
      <c r="P408" s="10" t="s">
        <v>81</v>
      </c>
      <c r="Q408" s="11" t="s">
        <v>369</v>
      </c>
      <c r="R408" s="11" t="s">
        <v>369</v>
      </c>
      <c r="S408" s="11" t="s">
        <v>1026</v>
      </c>
      <c r="T408" s="77"/>
    </row>
    <row r="409" spans="1:20" ht="34.5" x14ac:dyDescent="0.35">
      <c r="A409" s="56"/>
      <c r="B409" s="59" t="s">
        <v>2117</v>
      </c>
      <c r="C409" s="20" t="s">
        <v>3</v>
      </c>
      <c r="D409" s="21" t="s">
        <v>850</v>
      </c>
      <c r="E409" s="22" t="s">
        <v>854</v>
      </c>
      <c r="F409" s="23" t="s">
        <v>2106</v>
      </c>
      <c r="G409" s="23" t="s">
        <v>5</v>
      </c>
      <c r="H409" s="50" t="s">
        <v>267</v>
      </c>
      <c r="I409" s="23"/>
      <c r="J409" s="23"/>
      <c r="K409" s="23"/>
      <c r="L409" s="23"/>
      <c r="M409" s="10" t="s">
        <v>81</v>
      </c>
      <c r="N409" s="10" t="s">
        <v>81</v>
      </c>
      <c r="O409" s="10" t="s">
        <v>81</v>
      </c>
      <c r="P409" s="10" t="s">
        <v>81</v>
      </c>
      <c r="Q409" s="11" t="s">
        <v>369</v>
      </c>
      <c r="R409" s="11" t="s">
        <v>369</v>
      </c>
      <c r="S409" s="11" t="s">
        <v>1026</v>
      </c>
      <c r="T409" s="77"/>
    </row>
    <row r="410" spans="1:20" ht="46" x14ac:dyDescent="0.35">
      <c r="A410" s="56"/>
      <c r="B410" s="59" t="s">
        <v>2117</v>
      </c>
      <c r="C410" s="20" t="s">
        <v>3</v>
      </c>
      <c r="D410" s="21" t="s">
        <v>852</v>
      </c>
      <c r="E410" s="22" t="s">
        <v>855</v>
      </c>
      <c r="F410" s="23" t="s">
        <v>2107</v>
      </c>
      <c r="G410" s="23" t="s">
        <v>5</v>
      </c>
      <c r="H410" s="50" t="s">
        <v>267</v>
      </c>
      <c r="I410" s="23"/>
      <c r="J410" s="23"/>
      <c r="K410" s="23"/>
      <c r="L410" s="23"/>
      <c r="M410" s="10" t="s">
        <v>81</v>
      </c>
      <c r="N410" s="10" t="s">
        <v>81</v>
      </c>
      <c r="O410" s="10" t="s">
        <v>81</v>
      </c>
      <c r="P410" s="10" t="s">
        <v>81</v>
      </c>
      <c r="Q410" s="11" t="s">
        <v>369</v>
      </c>
      <c r="R410" s="11" t="s">
        <v>369</v>
      </c>
      <c r="S410" s="11" t="s">
        <v>1026</v>
      </c>
      <c r="T410" s="77"/>
    </row>
    <row r="411" spans="1:20" ht="46" x14ac:dyDescent="0.35">
      <c r="A411" s="56"/>
      <c r="B411" s="59" t="s">
        <v>2117</v>
      </c>
      <c r="C411" s="20" t="s">
        <v>3</v>
      </c>
      <c r="D411" s="21" t="s">
        <v>853</v>
      </c>
      <c r="E411" s="22" t="s">
        <v>851</v>
      </c>
      <c r="F411" s="23" t="s">
        <v>2108</v>
      </c>
      <c r="G411" s="23" t="s">
        <v>5</v>
      </c>
      <c r="H411" s="50" t="s">
        <v>267</v>
      </c>
      <c r="I411" s="23"/>
      <c r="J411" s="23"/>
      <c r="K411" s="23"/>
      <c r="L411" s="23"/>
      <c r="M411" s="10" t="s">
        <v>81</v>
      </c>
      <c r="N411" s="10" t="s">
        <v>81</v>
      </c>
      <c r="O411" s="10" t="s">
        <v>81</v>
      </c>
      <c r="P411" s="10" t="s">
        <v>81</v>
      </c>
      <c r="Q411" s="11" t="s">
        <v>369</v>
      </c>
      <c r="R411" s="11" t="s">
        <v>369</v>
      </c>
      <c r="S411" s="11" t="s">
        <v>1026</v>
      </c>
      <c r="T411" s="77"/>
    </row>
    <row r="412" spans="1:20" ht="92" x14ac:dyDescent="0.35">
      <c r="A412" s="56"/>
      <c r="B412" s="59" t="s">
        <v>2118</v>
      </c>
      <c r="C412" s="16" t="s">
        <v>2</v>
      </c>
      <c r="D412" s="17" t="s">
        <v>246</v>
      </c>
      <c r="E412" s="18" t="s">
        <v>247</v>
      </c>
      <c r="F412" s="19" t="s">
        <v>2110</v>
      </c>
      <c r="G412" s="19" t="s">
        <v>5</v>
      </c>
      <c r="H412" s="49" t="s">
        <v>265</v>
      </c>
      <c r="I412" s="19" t="s">
        <v>625</v>
      </c>
      <c r="J412" s="19" t="s">
        <v>624</v>
      </c>
      <c r="K412" s="19" t="s">
        <v>626</v>
      </c>
      <c r="L412" s="19" t="s">
        <v>292</v>
      </c>
      <c r="M412" s="10" t="s">
        <v>81</v>
      </c>
      <c r="N412" s="10" t="s">
        <v>81</v>
      </c>
      <c r="O412" s="10" t="s">
        <v>81</v>
      </c>
      <c r="P412" s="10" t="s">
        <v>81</v>
      </c>
      <c r="Q412" s="11" t="s">
        <v>369</v>
      </c>
      <c r="R412" s="11" t="s">
        <v>369</v>
      </c>
      <c r="S412" s="11" t="s">
        <v>1026</v>
      </c>
      <c r="T412" s="77"/>
    </row>
    <row r="413" spans="1:20" ht="46" x14ac:dyDescent="0.35">
      <c r="A413" s="56"/>
      <c r="B413" s="59" t="s">
        <v>2118</v>
      </c>
      <c r="C413" s="20" t="s">
        <v>3</v>
      </c>
      <c r="D413" s="21" t="s">
        <v>858</v>
      </c>
      <c r="E413" s="22" t="s">
        <v>862</v>
      </c>
      <c r="F413" s="23" t="s">
        <v>2111</v>
      </c>
      <c r="G413" s="23" t="s">
        <v>5</v>
      </c>
      <c r="H413" s="50" t="s">
        <v>265</v>
      </c>
      <c r="I413" s="23" t="s">
        <v>625</v>
      </c>
      <c r="J413" s="23" t="s">
        <v>960</v>
      </c>
      <c r="K413" s="23" t="s">
        <v>961</v>
      </c>
      <c r="L413" s="23" t="s">
        <v>962</v>
      </c>
      <c r="M413" s="10" t="s">
        <v>81</v>
      </c>
      <c r="N413" s="10" t="s">
        <v>81</v>
      </c>
      <c r="O413" s="10" t="s">
        <v>81</v>
      </c>
      <c r="P413" s="10" t="s">
        <v>81</v>
      </c>
      <c r="Q413" s="11" t="s">
        <v>369</v>
      </c>
      <c r="R413" s="11" t="s">
        <v>369</v>
      </c>
      <c r="S413" s="11" t="s">
        <v>1026</v>
      </c>
      <c r="T413" s="77"/>
    </row>
    <row r="414" spans="1:20" ht="46" x14ac:dyDescent="0.35">
      <c r="A414" s="56"/>
      <c r="B414" s="59" t="s">
        <v>2118</v>
      </c>
      <c r="C414" s="20" t="s">
        <v>3</v>
      </c>
      <c r="D414" s="21" t="s">
        <v>859</v>
      </c>
      <c r="E414" s="22" t="s">
        <v>863</v>
      </c>
      <c r="F414" s="23" t="s">
        <v>2112</v>
      </c>
      <c r="G414" s="23" t="s">
        <v>5</v>
      </c>
      <c r="H414" s="50" t="s">
        <v>265</v>
      </c>
      <c r="I414" s="23" t="s">
        <v>625</v>
      </c>
      <c r="J414" s="23" t="s">
        <v>960</v>
      </c>
      <c r="K414" s="23" t="s">
        <v>961</v>
      </c>
      <c r="L414" s="23" t="s">
        <v>962</v>
      </c>
      <c r="M414" s="10" t="s">
        <v>81</v>
      </c>
      <c r="N414" s="10" t="s">
        <v>81</v>
      </c>
      <c r="O414" s="10" t="s">
        <v>81</v>
      </c>
      <c r="P414" s="10" t="s">
        <v>81</v>
      </c>
      <c r="Q414" s="11" t="s">
        <v>369</v>
      </c>
      <c r="R414" s="11" t="s">
        <v>369</v>
      </c>
      <c r="S414" s="11" t="s">
        <v>1026</v>
      </c>
      <c r="T414" s="77"/>
    </row>
    <row r="415" spans="1:20" ht="34.5" x14ac:dyDescent="0.35">
      <c r="A415" s="56"/>
      <c r="B415" s="59" t="s">
        <v>2118</v>
      </c>
      <c r="C415" s="20" t="s">
        <v>3</v>
      </c>
      <c r="D415" s="21" t="s">
        <v>860</v>
      </c>
      <c r="E415" s="22" t="s">
        <v>856</v>
      </c>
      <c r="F415" s="23" t="s">
        <v>2113</v>
      </c>
      <c r="G415" s="23" t="s">
        <v>5</v>
      </c>
      <c r="H415" s="50" t="s">
        <v>265</v>
      </c>
      <c r="I415" s="23"/>
      <c r="J415" s="23"/>
      <c r="K415" s="23"/>
      <c r="L415" s="23"/>
      <c r="M415" s="10" t="s">
        <v>81</v>
      </c>
      <c r="N415" s="10" t="s">
        <v>81</v>
      </c>
      <c r="O415" s="10" t="s">
        <v>81</v>
      </c>
      <c r="P415" s="10" t="s">
        <v>81</v>
      </c>
      <c r="Q415" s="11" t="s">
        <v>369</v>
      </c>
      <c r="R415" s="11" t="s">
        <v>369</v>
      </c>
      <c r="S415" s="11" t="s">
        <v>1026</v>
      </c>
      <c r="T415" s="77"/>
    </row>
    <row r="416" spans="1:20" ht="46" x14ac:dyDescent="0.35">
      <c r="A416" s="56"/>
      <c r="B416" s="59" t="s">
        <v>2118</v>
      </c>
      <c r="C416" s="20" t="s">
        <v>3</v>
      </c>
      <c r="D416" s="21" t="s">
        <v>861</v>
      </c>
      <c r="E416" s="22" t="s">
        <v>857</v>
      </c>
      <c r="F416" s="23" t="s">
        <v>2114</v>
      </c>
      <c r="G416" s="23" t="s">
        <v>5</v>
      </c>
      <c r="H416" s="50" t="s">
        <v>265</v>
      </c>
      <c r="I416" s="23"/>
      <c r="J416" s="23"/>
      <c r="K416" s="23"/>
      <c r="L416" s="23"/>
      <c r="M416" s="10" t="s">
        <v>81</v>
      </c>
      <c r="N416" s="10" t="s">
        <v>81</v>
      </c>
      <c r="O416" s="10" t="s">
        <v>81</v>
      </c>
      <c r="P416" s="10" t="s">
        <v>81</v>
      </c>
      <c r="Q416" s="11" t="s">
        <v>369</v>
      </c>
      <c r="R416" s="11" t="s">
        <v>369</v>
      </c>
      <c r="S416" s="11" t="s">
        <v>1026</v>
      </c>
      <c r="T416" s="77"/>
    </row>
    <row r="417" spans="1:20" ht="69" x14ac:dyDescent="0.35">
      <c r="A417" s="56"/>
      <c r="B417" s="59" t="s">
        <v>2158</v>
      </c>
      <c r="C417" s="6" t="s">
        <v>0</v>
      </c>
      <c r="D417" s="7" t="s">
        <v>1040</v>
      </c>
      <c r="E417" s="8" t="s">
        <v>1039</v>
      </c>
      <c r="F417" s="9" t="s">
        <v>2157</v>
      </c>
      <c r="G417" s="9" t="s">
        <v>5</v>
      </c>
      <c r="H417" s="47" t="s">
        <v>265</v>
      </c>
      <c r="I417" s="9"/>
      <c r="J417" s="9"/>
      <c r="K417" s="9"/>
      <c r="L417" s="9"/>
      <c r="M417" s="10"/>
      <c r="N417" s="10"/>
      <c r="O417" s="10"/>
      <c r="P417" s="10"/>
      <c r="Q417" s="11" t="s">
        <v>69</v>
      </c>
      <c r="R417" s="11" t="s">
        <v>69</v>
      </c>
      <c r="S417" s="11" t="s">
        <v>1706</v>
      </c>
      <c r="T417" s="76"/>
    </row>
    <row r="418" spans="1:20" ht="34.5" x14ac:dyDescent="0.35">
      <c r="A418" s="56"/>
      <c r="B418" s="154" t="s">
        <v>2187</v>
      </c>
      <c r="C418" s="155" t="s">
        <v>1</v>
      </c>
      <c r="D418" s="156" t="s">
        <v>1041</v>
      </c>
      <c r="E418" s="157" t="s">
        <v>2190</v>
      </c>
      <c r="F418" s="158" t="s">
        <v>2184</v>
      </c>
      <c r="G418" s="158" t="s">
        <v>5</v>
      </c>
      <c r="H418" s="159" t="s">
        <v>265</v>
      </c>
      <c r="I418" s="158"/>
      <c r="J418" s="158"/>
      <c r="K418" s="158"/>
      <c r="L418" s="158"/>
      <c r="M418" s="160"/>
      <c r="N418" s="160"/>
      <c r="O418" s="160"/>
      <c r="P418" s="160"/>
      <c r="Q418" s="151" t="s">
        <v>69</v>
      </c>
      <c r="R418" s="151" t="s">
        <v>69</v>
      </c>
      <c r="S418" s="151" t="s">
        <v>1706</v>
      </c>
      <c r="T418" s="161"/>
    </row>
    <row r="419" spans="1:20" ht="46" x14ac:dyDescent="0.35">
      <c r="A419" s="56"/>
      <c r="B419" s="154" t="s">
        <v>2187</v>
      </c>
      <c r="C419" s="149" t="s">
        <v>2</v>
      </c>
      <c r="D419" s="148" t="s">
        <v>1045</v>
      </c>
      <c r="E419" s="147" t="s">
        <v>2185</v>
      </c>
      <c r="F419" s="146" t="s">
        <v>2186</v>
      </c>
      <c r="G419" s="146" t="s">
        <v>5</v>
      </c>
      <c r="H419" s="150" t="s">
        <v>265</v>
      </c>
      <c r="I419" s="146"/>
      <c r="J419" s="146"/>
      <c r="K419" s="146"/>
      <c r="L419" s="146"/>
      <c r="M419" s="160"/>
      <c r="N419" s="160"/>
      <c r="O419" s="160"/>
      <c r="P419" s="160"/>
      <c r="Q419" s="151" t="s">
        <v>69</v>
      </c>
      <c r="R419" s="151" t="s">
        <v>69</v>
      </c>
      <c r="S419" s="151" t="s">
        <v>1706</v>
      </c>
      <c r="T419" s="161"/>
    </row>
    <row r="420" spans="1:20" ht="57.5" x14ac:dyDescent="0.35">
      <c r="A420" s="56"/>
      <c r="B420" s="154" t="s">
        <v>2187</v>
      </c>
      <c r="C420" s="149" t="s">
        <v>2</v>
      </c>
      <c r="D420" s="148" t="s">
        <v>1049</v>
      </c>
      <c r="E420" s="147" t="s">
        <v>2189</v>
      </c>
      <c r="F420" s="146" t="s">
        <v>2188</v>
      </c>
      <c r="G420" s="146" t="s">
        <v>5</v>
      </c>
      <c r="H420" s="150" t="s">
        <v>267</v>
      </c>
      <c r="I420" s="146"/>
      <c r="J420" s="146"/>
      <c r="K420" s="146"/>
      <c r="L420" s="146"/>
      <c r="M420" s="160"/>
      <c r="N420" s="160"/>
      <c r="O420" s="160"/>
      <c r="P420" s="160"/>
      <c r="Q420" s="151" t="s">
        <v>69</v>
      </c>
      <c r="R420" s="151" t="s">
        <v>69</v>
      </c>
      <c r="S420" s="151" t="s">
        <v>1706</v>
      </c>
      <c r="T420" s="161"/>
    </row>
    <row r="421" spans="1:20" ht="57.5" x14ac:dyDescent="0.35">
      <c r="A421" s="56"/>
      <c r="B421" s="59" t="s">
        <v>1050</v>
      </c>
      <c r="C421" s="12" t="s">
        <v>1</v>
      </c>
      <c r="D421" s="13">
        <v>7.2</v>
      </c>
      <c r="E421" s="14" t="s">
        <v>1042</v>
      </c>
      <c r="F421" s="15" t="s">
        <v>2121</v>
      </c>
      <c r="G421" s="15" t="s">
        <v>5</v>
      </c>
      <c r="H421" s="48" t="s">
        <v>265</v>
      </c>
      <c r="I421" s="15"/>
      <c r="J421" s="15"/>
      <c r="K421" s="15"/>
      <c r="L421" s="15"/>
      <c r="M421" s="10"/>
      <c r="N421" s="10"/>
      <c r="O421" s="10"/>
      <c r="P421" s="10"/>
      <c r="Q421" s="11" t="s">
        <v>69</v>
      </c>
      <c r="R421" s="11" t="s">
        <v>69</v>
      </c>
      <c r="S421" s="11" t="s">
        <v>1706</v>
      </c>
      <c r="T421" s="77"/>
    </row>
    <row r="422" spans="1:20" ht="46" x14ac:dyDescent="0.35">
      <c r="A422" s="56"/>
      <c r="B422" s="59" t="s">
        <v>2133</v>
      </c>
      <c r="C422" s="16" t="s">
        <v>2</v>
      </c>
      <c r="D422" s="17" t="s">
        <v>1063</v>
      </c>
      <c r="E422" s="18" t="s">
        <v>1046</v>
      </c>
      <c r="F422" s="19" t="s">
        <v>2122</v>
      </c>
      <c r="G422" s="19" t="s">
        <v>5</v>
      </c>
      <c r="H422" s="49" t="s">
        <v>265</v>
      </c>
      <c r="I422" s="19"/>
      <c r="J422" s="19"/>
      <c r="K422" s="19"/>
      <c r="L422" s="19"/>
      <c r="M422" s="10"/>
      <c r="N422" s="10"/>
      <c r="O422" s="10"/>
      <c r="P422" s="10"/>
      <c r="Q422" s="11" t="s">
        <v>69</v>
      </c>
      <c r="R422" s="11" t="s">
        <v>69</v>
      </c>
      <c r="S422" s="11" t="s">
        <v>249</v>
      </c>
      <c r="T422" s="77"/>
    </row>
    <row r="423" spans="1:20" ht="69" x14ac:dyDescent="0.35">
      <c r="A423" s="56"/>
      <c r="B423" s="59" t="s">
        <v>1050</v>
      </c>
      <c r="C423" s="20" t="s">
        <v>3</v>
      </c>
      <c r="D423" s="21" t="s">
        <v>1064</v>
      </c>
      <c r="E423" s="22" t="s">
        <v>1051</v>
      </c>
      <c r="F423" s="23" t="s">
        <v>2125</v>
      </c>
      <c r="G423" s="23" t="s">
        <v>5</v>
      </c>
      <c r="H423" s="50" t="s">
        <v>265</v>
      </c>
      <c r="I423" s="23"/>
      <c r="J423" s="23"/>
      <c r="K423" s="23"/>
      <c r="L423" s="23"/>
      <c r="M423" s="10"/>
      <c r="N423" s="10"/>
      <c r="O423" s="10"/>
      <c r="P423" s="10"/>
      <c r="Q423" s="11" t="s">
        <v>69</v>
      </c>
      <c r="R423" s="11" t="s">
        <v>69</v>
      </c>
      <c r="S423" s="11" t="s">
        <v>249</v>
      </c>
      <c r="T423" s="77"/>
    </row>
    <row r="424" spans="1:20" ht="23" x14ac:dyDescent="0.35">
      <c r="A424" s="56"/>
      <c r="B424" s="59" t="s">
        <v>2133</v>
      </c>
      <c r="C424" s="20" t="s">
        <v>3</v>
      </c>
      <c r="D424" s="21" t="s">
        <v>1065</v>
      </c>
      <c r="E424" s="22" t="s">
        <v>1052</v>
      </c>
      <c r="F424" s="23" t="s">
        <v>2123</v>
      </c>
      <c r="G424" s="23" t="s">
        <v>5</v>
      </c>
      <c r="H424" s="50" t="s">
        <v>265</v>
      </c>
      <c r="I424" s="23"/>
      <c r="J424" s="23"/>
      <c r="K424" s="23"/>
      <c r="L424" s="23"/>
      <c r="M424" s="10"/>
      <c r="N424" s="10"/>
      <c r="O424" s="10"/>
      <c r="P424" s="10"/>
      <c r="Q424" s="11" t="s">
        <v>69</v>
      </c>
      <c r="R424" s="11" t="s">
        <v>69</v>
      </c>
      <c r="S424" s="11" t="s">
        <v>249</v>
      </c>
      <c r="T424" s="77"/>
    </row>
    <row r="425" spans="1:20" ht="57.5" x14ac:dyDescent="0.35">
      <c r="A425" s="56"/>
      <c r="B425" s="59" t="s">
        <v>1050</v>
      </c>
      <c r="C425" s="20" t="s">
        <v>3</v>
      </c>
      <c r="D425" s="21" t="s">
        <v>2162</v>
      </c>
      <c r="E425" s="22" t="s">
        <v>1047</v>
      </c>
      <c r="F425" s="23" t="s">
        <v>2124</v>
      </c>
      <c r="G425" s="23" t="s">
        <v>5</v>
      </c>
      <c r="H425" s="50" t="s">
        <v>265</v>
      </c>
      <c r="I425" s="23"/>
      <c r="J425" s="23"/>
      <c r="K425" s="23"/>
      <c r="L425" s="23"/>
      <c r="M425" s="10"/>
      <c r="N425" s="10"/>
      <c r="O425" s="10"/>
      <c r="P425" s="10"/>
      <c r="Q425" s="11" t="s">
        <v>69</v>
      </c>
      <c r="R425" s="11" t="s">
        <v>69</v>
      </c>
      <c r="S425" s="11"/>
      <c r="T425" s="77"/>
    </row>
    <row r="426" spans="1:20" ht="23" x14ac:dyDescent="0.35">
      <c r="A426" s="56"/>
      <c r="B426" s="59" t="s">
        <v>2133</v>
      </c>
      <c r="C426" s="16" t="s">
        <v>2</v>
      </c>
      <c r="D426" s="17" t="s">
        <v>2163</v>
      </c>
      <c r="E426" s="18" t="s">
        <v>1054</v>
      </c>
      <c r="F426" s="19" t="s">
        <v>2126</v>
      </c>
      <c r="G426" s="19" t="s">
        <v>5</v>
      </c>
      <c r="H426" s="49" t="s">
        <v>265</v>
      </c>
      <c r="I426" s="19"/>
      <c r="J426" s="19"/>
      <c r="K426" s="19"/>
      <c r="L426" s="19"/>
      <c r="M426" s="10"/>
      <c r="N426" s="10"/>
      <c r="O426" s="10"/>
      <c r="P426" s="10"/>
      <c r="Q426" s="11" t="s">
        <v>69</v>
      </c>
      <c r="R426" s="11" t="s">
        <v>69</v>
      </c>
      <c r="S426" s="11" t="s">
        <v>1706</v>
      </c>
      <c r="T426" s="77"/>
    </row>
    <row r="427" spans="1:20" ht="46" x14ac:dyDescent="0.35">
      <c r="A427" s="56"/>
      <c r="B427" s="59" t="s">
        <v>2133</v>
      </c>
      <c r="C427" s="20" t="s">
        <v>3</v>
      </c>
      <c r="D427" s="21" t="s">
        <v>2164</v>
      </c>
      <c r="E427" s="22" t="s">
        <v>1053</v>
      </c>
      <c r="F427" s="23" t="s">
        <v>2127</v>
      </c>
      <c r="G427" s="23" t="s">
        <v>5</v>
      </c>
      <c r="H427" s="50" t="s">
        <v>265</v>
      </c>
      <c r="I427" s="23"/>
      <c r="J427" s="23"/>
      <c r="K427" s="23"/>
      <c r="L427" s="23"/>
      <c r="M427" s="10"/>
      <c r="N427" s="10"/>
      <c r="O427" s="10"/>
      <c r="P427" s="10"/>
      <c r="Q427" s="11" t="s">
        <v>69</v>
      </c>
      <c r="R427" s="11" t="s">
        <v>69</v>
      </c>
      <c r="S427" s="11" t="s">
        <v>1706</v>
      </c>
      <c r="T427" s="77"/>
    </row>
    <row r="428" spans="1:20" ht="57.5" x14ac:dyDescent="0.35">
      <c r="A428" s="56"/>
      <c r="B428" s="59" t="s">
        <v>2133</v>
      </c>
      <c r="C428" s="20" t="s">
        <v>3</v>
      </c>
      <c r="D428" s="21" t="s">
        <v>2165</v>
      </c>
      <c r="E428" s="22" t="s">
        <v>2129</v>
      </c>
      <c r="F428" s="23" t="s">
        <v>2128</v>
      </c>
      <c r="G428" s="23" t="s">
        <v>5</v>
      </c>
      <c r="H428" s="50" t="s">
        <v>265</v>
      </c>
      <c r="I428" s="23"/>
      <c r="J428" s="23"/>
      <c r="K428" s="23"/>
      <c r="L428" s="23"/>
      <c r="M428" s="10"/>
      <c r="N428" s="10"/>
      <c r="O428" s="10"/>
      <c r="P428" s="10"/>
      <c r="Q428" s="11" t="s">
        <v>69</v>
      </c>
      <c r="R428" s="11" t="s">
        <v>69</v>
      </c>
      <c r="S428" s="11" t="s">
        <v>1706</v>
      </c>
      <c r="T428" s="77"/>
    </row>
    <row r="429" spans="1:20" ht="46" x14ac:dyDescent="0.35">
      <c r="A429" s="56"/>
      <c r="B429" s="59" t="s">
        <v>37</v>
      </c>
      <c r="C429" s="20" t="s">
        <v>3</v>
      </c>
      <c r="D429" s="21" t="s">
        <v>2166</v>
      </c>
      <c r="E429" s="22" t="s">
        <v>1048</v>
      </c>
      <c r="F429" s="23" t="s">
        <v>2134</v>
      </c>
      <c r="G429" s="23" t="s">
        <v>5</v>
      </c>
      <c r="H429" s="50" t="s">
        <v>265</v>
      </c>
      <c r="I429" s="23"/>
      <c r="J429" s="23"/>
      <c r="K429" s="23"/>
      <c r="L429" s="23"/>
      <c r="M429" s="10"/>
      <c r="N429" s="10"/>
      <c r="O429" s="10"/>
      <c r="P429" s="10"/>
      <c r="Q429" s="11" t="s">
        <v>69</v>
      </c>
      <c r="R429" s="11" t="s">
        <v>69</v>
      </c>
      <c r="S429" s="11" t="s">
        <v>249</v>
      </c>
      <c r="T429" s="77"/>
    </row>
    <row r="430" spans="1:20" ht="34.5" x14ac:dyDescent="0.35">
      <c r="A430" s="56"/>
      <c r="B430" s="59" t="s">
        <v>2135</v>
      </c>
      <c r="C430" s="16" t="s">
        <v>2</v>
      </c>
      <c r="D430" s="17" t="s">
        <v>2167</v>
      </c>
      <c r="E430" s="18" t="s">
        <v>1074</v>
      </c>
      <c r="F430" s="19" t="s">
        <v>2130</v>
      </c>
      <c r="G430" s="19" t="s">
        <v>5</v>
      </c>
      <c r="H430" s="49" t="s">
        <v>265</v>
      </c>
      <c r="I430" s="19"/>
      <c r="J430" s="19"/>
      <c r="K430" s="19"/>
      <c r="L430" s="19"/>
      <c r="M430" s="10"/>
      <c r="N430" s="10"/>
      <c r="O430" s="10"/>
      <c r="P430" s="10"/>
      <c r="Q430" s="11" t="s">
        <v>69</v>
      </c>
      <c r="R430" s="11" t="s">
        <v>69</v>
      </c>
      <c r="S430" s="11" t="s">
        <v>1706</v>
      </c>
      <c r="T430" s="77"/>
    </row>
    <row r="431" spans="1:20" ht="34.5" x14ac:dyDescent="0.35">
      <c r="A431" s="56"/>
      <c r="B431" s="59" t="s">
        <v>2135</v>
      </c>
      <c r="C431" s="20" t="s">
        <v>3</v>
      </c>
      <c r="D431" s="21" t="s">
        <v>2168</v>
      </c>
      <c r="E431" s="22" t="s">
        <v>1075</v>
      </c>
      <c r="F431" s="23" t="s">
        <v>2131</v>
      </c>
      <c r="G431" s="23" t="s">
        <v>5</v>
      </c>
      <c r="H431" s="50" t="s">
        <v>265</v>
      </c>
      <c r="I431" s="23"/>
      <c r="J431" s="23"/>
      <c r="K431" s="23"/>
      <c r="L431" s="23"/>
      <c r="M431" s="10"/>
      <c r="N431" s="10"/>
      <c r="O431" s="10"/>
      <c r="P431" s="10"/>
      <c r="Q431" s="11" t="s">
        <v>69</v>
      </c>
      <c r="R431" s="11" t="s">
        <v>69</v>
      </c>
      <c r="S431" s="11" t="s">
        <v>1706</v>
      </c>
      <c r="T431" s="77"/>
    </row>
    <row r="432" spans="1:20" ht="34.5" x14ac:dyDescent="0.35">
      <c r="A432" s="56"/>
      <c r="B432" s="59" t="s">
        <v>2135</v>
      </c>
      <c r="C432" s="20" t="s">
        <v>3</v>
      </c>
      <c r="D432" s="21" t="s">
        <v>2169</v>
      </c>
      <c r="E432" s="22" t="s">
        <v>1076</v>
      </c>
      <c r="F432" s="23" t="s">
        <v>2132</v>
      </c>
      <c r="G432" s="23" t="s">
        <v>5</v>
      </c>
      <c r="H432" s="50" t="s">
        <v>265</v>
      </c>
      <c r="I432" s="23"/>
      <c r="J432" s="23"/>
      <c r="K432" s="23"/>
      <c r="L432" s="23"/>
      <c r="M432" s="10"/>
      <c r="N432" s="10"/>
      <c r="O432" s="10"/>
      <c r="P432" s="10"/>
      <c r="Q432" s="11" t="s">
        <v>69</v>
      </c>
      <c r="R432" s="11" t="s">
        <v>69</v>
      </c>
      <c r="S432" s="11" t="s">
        <v>1706</v>
      </c>
      <c r="T432" s="77"/>
    </row>
    <row r="433" spans="1:20" ht="34.5" x14ac:dyDescent="0.35">
      <c r="A433" s="56"/>
      <c r="B433" s="59" t="s">
        <v>124</v>
      </c>
      <c r="C433" s="16" t="s">
        <v>2</v>
      </c>
      <c r="D433" s="17" t="s">
        <v>2170</v>
      </c>
      <c r="E433" s="18" t="s">
        <v>1055</v>
      </c>
      <c r="F433" s="19" t="s">
        <v>2136</v>
      </c>
      <c r="G433" s="19" t="s">
        <v>5</v>
      </c>
      <c r="H433" s="49" t="s">
        <v>265</v>
      </c>
      <c r="I433" s="19"/>
      <c r="J433" s="19"/>
      <c r="K433" s="19"/>
      <c r="L433" s="19"/>
      <c r="M433" s="10"/>
      <c r="N433" s="10"/>
      <c r="O433" s="10"/>
      <c r="P433" s="10"/>
      <c r="Q433" s="11" t="s">
        <v>69</v>
      </c>
      <c r="R433" s="11" t="s">
        <v>69</v>
      </c>
      <c r="S433" s="11" t="s">
        <v>249</v>
      </c>
      <c r="T433" s="77"/>
    </row>
    <row r="434" spans="1:20" ht="23" x14ac:dyDescent="0.35">
      <c r="A434" s="56"/>
      <c r="B434" s="59" t="s">
        <v>124</v>
      </c>
      <c r="C434" s="20" t="s">
        <v>3</v>
      </c>
      <c r="D434" s="21" t="s">
        <v>2171</v>
      </c>
      <c r="E434" s="22" t="s">
        <v>1058</v>
      </c>
      <c r="F434" s="23" t="s">
        <v>2137</v>
      </c>
      <c r="G434" s="23" t="s">
        <v>5</v>
      </c>
      <c r="H434" s="50" t="s">
        <v>265</v>
      </c>
      <c r="I434" s="23"/>
      <c r="J434" s="23"/>
      <c r="K434" s="23"/>
      <c r="L434" s="23"/>
      <c r="M434" s="10"/>
      <c r="N434" s="10"/>
      <c r="O434" s="10"/>
      <c r="P434" s="10"/>
      <c r="Q434" s="11" t="s">
        <v>69</v>
      </c>
      <c r="R434" s="11" t="s">
        <v>69</v>
      </c>
      <c r="S434" s="11" t="s">
        <v>249</v>
      </c>
      <c r="T434" s="77"/>
    </row>
    <row r="435" spans="1:20" ht="34.5" x14ac:dyDescent="0.35">
      <c r="A435" s="56"/>
      <c r="B435" s="59" t="s">
        <v>124</v>
      </c>
      <c r="C435" s="20" t="s">
        <v>3</v>
      </c>
      <c r="D435" s="21" t="s">
        <v>2172</v>
      </c>
      <c r="E435" s="22" t="s">
        <v>1057</v>
      </c>
      <c r="F435" s="23" t="s">
        <v>2138</v>
      </c>
      <c r="G435" s="23" t="s">
        <v>5</v>
      </c>
      <c r="H435" s="50" t="s">
        <v>265</v>
      </c>
      <c r="I435" s="23"/>
      <c r="J435" s="23"/>
      <c r="K435" s="23"/>
      <c r="L435" s="23"/>
      <c r="M435" s="10"/>
      <c r="N435" s="10"/>
      <c r="O435" s="10"/>
      <c r="P435" s="10"/>
      <c r="Q435" s="11" t="s">
        <v>69</v>
      </c>
      <c r="R435" s="11" t="s">
        <v>69</v>
      </c>
      <c r="S435" s="11" t="s">
        <v>249</v>
      </c>
      <c r="T435" s="77"/>
    </row>
    <row r="436" spans="1:20" ht="34.5" x14ac:dyDescent="0.35">
      <c r="A436" s="56"/>
      <c r="B436" s="59" t="s">
        <v>2159</v>
      </c>
      <c r="C436" s="16" t="s">
        <v>2</v>
      </c>
      <c r="D436" s="17" t="s">
        <v>2173</v>
      </c>
      <c r="E436" s="18" t="s">
        <v>1056</v>
      </c>
      <c r="F436" s="19" t="s">
        <v>2139</v>
      </c>
      <c r="G436" s="19" t="s">
        <v>5</v>
      </c>
      <c r="H436" s="49" t="s">
        <v>265</v>
      </c>
      <c r="I436" s="19"/>
      <c r="J436" s="19"/>
      <c r="K436" s="19"/>
      <c r="L436" s="19"/>
      <c r="M436" s="10"/>
      <c r="N436" s="10"/>
      <c r="O436" s="10"/>
      <c r="P436" s="10"/>
      <c r="Q436" s="11" t="s">
        <v>69</v>
      </c>
      <c r="R436" s="11" t="s">
        <v>69</v>
      </c>
      <c r="S436" s="11"/>
      <c r="T436" s="77"/>
    </row>
    <row r="437" spans="1:20" ht="23" x14ac:dyDescent="0.35">
      <c r="A437" s="56"/>
      <c r="B437" s="59" t="s">
        <v>83</v>
      </c>
      <c r="C437" s="20" t="s">
        <v>3</v>
      </c>
      <c r="D437" s="21" t="s">
        <v>2174</v>
      </c>
      <c r="E437" s="22" t="s">
        <v>1059</v>
      </c>
      <c r="F437" s="23" t="s">
        <v>2140</v>
      </c>
      <c r="G437" s="23" t="s">
        <v>5</v>
      </c>
      <c r="H437" s="50" t="s">
        <v>267</v>
      </c>
      <c r="I437" s="23"/>
      <c r="J437" s="23"/>
      <c r="K437" s="23"/>
      <c r="L437" s="23"/>
      <c r="M437" s="10"/>
      <c r="N437" s="10"/>
      <c r="O437" s="10"/>
      <c r="P437" s="10"/>
      <c r="Q437" s="11" t="s">
        <v>69</v>
      </c>
      <c r="R437" s="11" t="s">
        <v>69</v>
      </c>
      <c r="S437" s="11"/>
      <c r="T437" s="77"/>
    </row>
    <row r="438" spans="1:20" ht="34.5" x14ac:dyDescent="0.35">
      <c r="A438" s="56"/>
      <c r="B438" s="59" t="s">
        <v>2142</v>
      </c>
      <c r="C438" s="20" t="s">
        <v>3</v>
      </c>
      <c r="D438" s="21" t="s">
        <v>2175</v>
      </c>
      <c r="E438" s="22" t="s">
        <v>1071</v>
      </c>
      <c r="F438" s="23" t="s">
        <v>2141</v>
      </c>
      <c r="G438" s="23" t="s">
        <v>5</v>
      </c>
      <c r="H438" s="50" t="s">
        <v>265</v>
      </c>
      <c r="I438" s="23"/>
      <c r="J438" s="23"/>
      <c r="K438" s="23"/>
      <c r="L438" s="23"/>
      <c r="M438" s="10"/>
      <c r="N438" s="10"/>
      <c r="O438" s="10"/>
      <c r="P438" s="10"/>
      <c r="Q438" s="11" t="s">
        <v>69</v>
      </c>
      <c r="R438" s="11" t="s">
        <v>69</v>
      </c>
      <c r="S438" s="11"/>
      <c r="T438" s="77"/>
    </row>
    <row r="439" spans="1:20" ht="34.5" x14ac:dyDescent="0.35">
      <c r="A439" s="56"/>
      <c r="B439" s="59" t="s">
        <v>37</v>
      </c>
      <c r="C439" s="20" t="s">
        <v>3</v>
      </c>
      <c r="D439" s="21" t="s">
        <v>2176</v>
      </c>
      <c r="E439" s="22" t="s">
        <v>1060</v>
      </c>
      <c r="F439" s="23" t="s">
        <v>2143</v>
      </c>
      <c r="G439" s="23" t="s">
        <v>5</v>
      </c>
      <c r="H439" s="50" t="s">
        <v>265</v>
      </c>
      <c r="I439" s="23"/>
      <c r="J439" s="23"/>
      <c r="K439" s="23"/>
      <c r="L439" s="23"/>
      <c r="M439" s="10"/>
      <c r="N439" s="10"/>
      <c r="O439" s="10"/>
      <c r="P439" s="10"/>
      <c r="Q439" s="11" t="s">
        <v>69</v>
      </c>
      <c r="R439" s="11" t="s">
        <v>69</v>
      </c>
      <c r="S439" s="11"/>
      <c r="T439" s="77"/>
    </row>
    <row r="440" spans="1:20" ht="34.5" x14ac:dyDescent="0.35">
      <c r="A440" s="56"/>
      <c r="B440" s="59" t="s">
        <v>124</v>
      </c>
      <c r="C440" s="20" t="s">
        <v>3</v>
      </c>
      <c r="D440" s="21" t="s">
        <v>2177</v>
      </c>
      <c r="E440" s="22" t="s">
        <v>1061</v>
      </c>
      <c r="F440" s="23" t="s">
        <v>2144</v>
      </c>
      <c r="G440" s="23" t="s">
        <v>5</v>
      </c>
      <c r="H440" s="50" t="s">
        <v>264</v>
      </c>
      <c r="I440" s="23"/>
      <c r="J440" s="23"/>
      <c r="K440" s="23"/>
      <c r="L440" s="23"/>
      <c r="M440" s="10"/>
      <c r="N440" s="10"/>
      <c r="O440" s="10"/>
      <c r="P440" s="10"/>
      <c r="Q440" s="11" t="s">
        <v>1717</v>
      </c>
      <c r="R440" s="11" t="s">
        <v>69</v>
      </c>
      <c r="S440" s="11"/>
      <c r="T440" s="77"/>
    </row>
    <row r="441" spans="1:20" ht="46" x14ac:dyDescent="0.35">
      <c r="A441" s="56"/>
      <c r="B441" s="59" t="s">
        <v>2146</v>
      </c>
      <c r="C441" s="20" t="s">
        <v>3</v>
      </c>
      <c r="D441" s="21" t="s">
        <v>2178</v>
      </c>
      <c r="E441" s="22" t="s">
        <v>1062</v>
      </c>
      <c r="F441" s="23" t="s">
        <v>2145</v>
      </c>
      <c r="G441" s="23" t="s">
        <v>5</v>
      </c>
      <c r="H441" s="50" t="s">
        <v>265</v>
      </c>
      <c r="I441" s="23"/>
      <c r="J441" s="23"/>
      <c r="K441" s="23"/>
      <c r="L441" s="23"/>
      <c r="M441" s="10"/>
      <c r="N441" s="10"/>
      <c r="O441" s="10"/>
      <c r="P441" s="10"/>
      <c r="Q441" s="11" t="s">
        <v>69</v>
      </c>
      <c r="R441" s="11" t="s">
        <v>69</v>
      </c>
      <c r="S441" s="11"/>
      <c r="T441" s="77"/>
    </row>
    <row r="442" spans="1:20" ht="46" x14ac:dyDescent="0.35">
      <c r="A442" s="56"/>
      <c r="B442" s="59" t="s">
        <v>2147</v>
      </c>
      <c r="C442" s="12" t="s">
        <v>1</v>
      </c>
      <c r="D442" s="13">
        <v>7.3</v>
      </c>
      <c r="E442" s="14" t="s">
        <v>1043</v>
      </c>
      <c r="F442" s="15" t="s">
        <v>2148</v>
      </c>
      <c r="G442" s="15" t="s">
        <v>5</v>
      </c>
      <c r="H442" s="48" t="s">
        <v>265</v>
      </c>
      <c r="I442" s="15"/>
      <c r="J442" s="15"/>
      <c r="K442" s="15"/>
      <c r="L442" s="15"/>
      <c r="M442" s="10"/>
      <c r="N442" s="10"/>
      <c r="O442" s="10"/>
      <c r="P442" s="10"/>
      <c r="Q442" s="11" t="s">
        <v>69</v>
      </c>
      <c r="R442" s="11" t="s">
        <v>69</v>
      </c>
      <c r="S442" s="11"/>
      <c r="T442" s="77"/>
    </row>
    <row r="443" spans="1:20" ht="34.5" x14ac:dyDescent="0.35">
      <c r="A443" s="56"/>
      <c r="B443" s="59" t="s">
        <v>2147</v>
      </c>
      <c r="C443" s="16" t="s">
        <v>2</v>
      </c>
      <c r="D443" s="17" t="s">
        <v>1066</v>
      </c>
      <c r="E443" s="18" t="s">
        <v>1072</v>
      </c>
      <c r="F443" s="19" t="s">
        <v>2149</v>
      </c>
      <c r="G443" s="19" t="s">
        <v>5</v>
      </c>
      <c r="H443" s="49" t="s">
        <v>265</v>
      </c>
      <c r="I443" s="19"/>
      <c r="J443" s="19"/>
      <c r="K443" s="19"/>
      <c r="L443" s="19"/>
      <c r="M443" s="10"/>
      <c r="N443" s="10"/>
      <c r="O443" s="10"/>
      <c r="P443" s="10"/>
      <c r="Q443" s="11" t="s">
        <v>69</v>
      </c>
      <c r="R443" s="11" t="s">
        <v>69</v>
      </c>
      <c r="S443" s="11" t="s">
        <v>249</v>
      </c>
      <c r="T443" s="77"/>
    </row>
    <row r="444" spans="1:20" ht="34.5" x14ac:dyDescent="0.35">
      <c r="A444" s="56"/>
      <c r="B444" s="59" t="s">
        <v>2147</v>
      </c>
      <c r="C444" s="20" t="s">
        <v>3</v>
      </c>
      <c r="D444" s="21" t="s">
        <v>2179</v>
      </c>
      <c r="E444" s="82" t="s">
        <v>2151</v>
      </c>
      <c r="F444" s="23" t="s">
        <v>2150</v>
      </c>
      <c r="G444" s="23" t="s">
        <v>5</v>
      </c>
      <c r="H444" s="50" t="s">
        <v>265</v>
      </c>
      <c r="I444" s="23"/>
      <c r="J444" s="23"/>
      <c r="K444" s="23"/>
      <c r="L444" s="23"/>
      <c r="M444" s="10"/>
      <c r="N444" s="10"/>
      <c r="O444" s="10"/>
      <c r="P444" s="10"/>
      <c r="Q444" s="11" t="s">
        <v>69</v>
      </c>
      <c r="R444" s="11" t="s">
        <v>69</v>
      </c>
      <c r="S444" s="11" t="s">
        <v>249</v>
      </c>
      <c r="T444" s="77"/>
    </row>
    <row r="445" spans="1:20" ht="46" x14ac:dyDescent="0.35">
      <c r="A445" s="56"/>
      <c r="B445" s="59" t="s">
        <v>2147</v>
      </c>
      <c r="C445" s="20" t="s">
        <v>3</v>
      </c>
      <c r="D445" s="21" t="s">
        <v>2180</v>
      </c>
      <c r="E445" s="82" t="s">
        <v>1073</v>
      </c>
      <c r="F445" s="23" t="s">
        <v>2152</v>
      </c>
      <c r="G445" s="23" t="s">
        <v>5</v>
      </c>
      <c r="H445" s="50" t="s">
        <v>265</v>
      </c>
      <c r="I445" s="23"/>
      <c r="J445" s="23"/>
      <c r="K445" s="23"/>
      <c r="L445" s="23"/>
      <c r="M445" s="10"/>
      <c r="N445" s="10"/>
      <c r="O445" s="10"/>
      <c r="P445" s="10"/>
      <c r="Q445" s="11" t="s">
        <v>69</v>
      </c>
      <c r="R445" s="11" t="s">
        <v>69</v>
      </c>
      <c r="S445" s="11" t="s">
        <v>249</v>
      </c>
      <c r="T445" s="77"/>
    </row>
    <row r="446" spans="1:20" ht="46" x14ac:dyDescent="0.35">
      <c r="A446" s="56"/>
      <c r="B446" s="59" t="s">
        <v>2147</v>
      </c>
      <c r="C446" s="12" t="s">
        <v>1</v>
      </c>
      <c r="D446" s="13">
        <v>7.4</v>
      </c>
      <c r="E446" s="14" t="s">
        <v>1044</v>
      </c>
      <c r="F446" s="15" t="s">
        <v>2153</v>
      </c>
      <c r="G446" s="15" t="s">
        <v>5</v>
      </c>
      <c r="H446" s="48" t="s">
        <v>265</v>
      </c>
      <c r="I446" s="15"/>
      <c r="J446" s="15"/>
      <c r="K446" s="15"/>
      <c r="L446" s="15"/>
      <c r="M446" s="10"/>
      <c r="N446" s="10"/>
      <c r="O446" s="10"/>
      <c r="P446" s="10"/>
      <c r="Q446" s="11" t="s">
        <v>69</v>
      </c>
      <c r="R446" s="11" t="s">
        <v>69</v>
      </c>
      <c r="S446" s="11" t="s">
        <v>249</v>
      </c>
      <c r="T446" s="77"/>
    </row>
    <row r="447" spans="1:20" ht="46" x14ac:dyDescent="0.35">
      <c r="A447" s="56"/>
      <c r="B447" s="59" t="s">
        <v>2147</v>
      </c>
      <c r="C447" s="16" t="s">
        <v>2</v>
      </c>
      <c r="D447" s="17" t="s">
        <v>2181</v>
      </c>
      <c r="E447" s="18" t="s">
        <v>1067</v>
      </c>
      <c r="F447" s="19" t="s">
        <v>2154</v>
      </c>
      <c r="G447" s="19" t="s">
        <v>5</v>
      </c>
      <c r="H447" s="49" t="s">
        <v>265</v>
      </c>
      <c r="I447" s="19"/>
      <c r="J447" s="19"/>
      <c r="K447" s="19"/>
      <c r="L447" s="19"/>
      <c r="M447" s="10"/>
      <c r="N447" s="10"/>
      <c r="O447" s="10"/>
      <c r="P447" s="10"/>
      <c r="Q447" s="11" t="s">
        <v>69</v>
      </c>
      <c r="R447" s="11" t="s">
        <v>69</v>
      </c>
      <c r="S447" s="11" t="s">
        <v>1706</v>
      </c>
      <c r="T447" s="77"/>
    </row>
    <row r="448" spans="1:20" ht="34.5" x14ac:dyDescent="0.35">
      <c r="A448" s="56"/>
      <c r="B448" s="59" t="s">
        <v>2147</v>
      </c>
      <c r="C448" s="16" t="s">
        <v>2</v>
      </c>
      <c r="D448" s="17" t="s">
        <v>2182</v>
      </c>
      <c r="E448" s="18" t="s">
        <v>1068</v>
      </c>
      <c r="F448" s="19" t="s">
        <v>2155</v>
      </c>
      <c r="G448" s="19" t="s">
        <v>5</v>
      </c>
      <c r="H448" s="49" t="s">
        <v>267</v>
      </c>
      <c r="I448" s="19"/>
      <c r="J448" s="19"/>
      <c r="K448" s="19"/>
      <c r="L448" s="19"/>
      <c r="M448" s="10"/>
      <c r="N448" s="10"/>
      <c r="O448" s="10"/>
      <c r="P448" s="10"/>
      <c r="Q448" s="11" t="s">
        <v>69</v>
      </c>
      <c r="R448" s="11" t="s">
        <v>69</v>
      </c>
      <c r="S448" s="11" t="s">
        <v>1706</v>
      </c>
      <c r="T448" s="77"/>
    </row>
    <row r="449" spans="1:20" ht="46" x14ac:dyDescent="0.35">
      <c r="A449" s="56"/>
      <c r="B449" s="59" t="s">
        <v>1070</v>
      </c>
      <c r="C449" s="16" t="s">
        <v>2</v>
      </c>
      <c r="D449" s="17" t="s">
        <v>2183</v>
      </c>
      <c r="E449" s="18" t="s">
        <v>1069</v>
      </c>
      <c r="F449" s="19" t="s">
        <v>2156</v>
      </c>
      <c r="G449" s="19" t="s">
        <v>5</v>
      </c>
      <c r="H449" s="49" t="s">
        <v>265</v>
      </c>
      <c r="I449" s="19"/>
      <c r="J449" s="19"/>
      <c r="K449" s="19"/>
      <c r="L449" s="19"/>
      <c r="M449" s="10"/>
      <c r="N449" s="10"/>
      <c r="O449" s="10"/>
      <c r="P449" s="10"/>
      <c r="Q449" s="11" t="s">
        <v>1283</v>
      </c>
      <c r="R449" s="11" t="s">
        <v>69</v>
      </c>
      <c r="S449" s="11" t="s">
        <v>1283</v>
      </c>
      <c r="T449" s="77"/>
    </row>
  </sheetData>
  <autoFilter ref="A5:AD449" xr:uid="{8890AFF3-141C-4311-B2EC-84952B1647D4}"/>
  <mergeCells count="1">
    <mergeCell ref="U3:Y3"/>
  </mergeCells>
  <phoneticPr fontId="21" type="noConversion"/>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BD1266-9109-4C4A-869B-B0078021F53A}">
  <dimension ref="A1:G26"/>
  <sheetViews>
    <sheetView zoomScale="110" zoomScaleNormal="110" workbookViewId="0">
      <pane ySplit="4" topLeftCell="A5" activePane="bottomLeft" state="frozen"/>
      <selection pane="bottomLeft"/>
    </sheetView>
  </sheetViews>
  <sheetFormatPr defaultRowHeight="14.5" x14ac:dyDescent="0.35"/>
  <cols>
    <col min="1" max="1" width="8.7265625" style="121"/>
    <col min="2" max="2" width="21.1796875" style="122" bestFit="1" customWidth="1"/>
    <col min="3" max="3" width="47.81640625" style="122" customWidth="1"/>
    <col min="4" max="4" width="43.90625" style="122" customWidth="1"/>
    <col min="5" max="5" width="19.81640625" style="122" customWidth="1"/>
    <col min="6" max="6" width="20.26953125" style="122" customWidth="1"/>
    <col min="7" max="7" width="33.90625" style="130" customWidth="1"/>
    <col min="8" max="16384" width="8.7265625" style="121"/>
  </cols>
  <sheetData>
    <row r="1" spans="1:7" x14ac:dyDescent="0.35">
      <c r="A1" s="120" t="s">
        <v>1558</v>
      </c>
    </row>
    <row r="4" spans="1:7" x14ac:dyDescent="0.35">
      <c r="B4" s="125" t="s">
        <v>1592</v>
      </c>
      <c r="C4" s="125" t="s">
        <v>1567</v>
      </c>
      <c r="D4" s="125" t="s">
        <v>1568</v>
      </c>
      <c r="E4" s="125" t="s">
        <v>1594</v>
      </c>
      <c r="F4" s="125" t="s">
        <v>1593</v>
      </c>
    </row>
    <row r="5" spans="1:7" x14ac:dyDescent="0.35">
      <c r="B5" s="126" t="s">
        <v>1559</v>
      </c>
      <c r="C5" s="127"/>
      <c r="D5" s="127"/>
      <c r="E5" s="127"/>
      <c r="F5" s="127"/>
    </row>
    <row r="6" spans="1:7" x14ac:dyDescent="0.35">
      <c r="B6" s="123" t="s">
        <v>1560</v>
      </c>
      <c r="C6" s="123" t="s">
        <v>1566</v>
      </c>
      <c r="D6" s="123"/>
      <c r="E6" s="123" t="str">
        <f>'Process Design'!D329</f>
        <v>5.3.2</v>
      </c>
      <c r="F6" s="123"/>
    </row>
    <row r="7" spans="1:7" x14ac:dyDescent="0.35">
      <c r="B7" s="123" t="s">
        <v>1561</v>
      </c>
      <c r="C7" s="123" t="s">
        <v>1565</v>
      </c>
      <c r="D7" s="123"/>
      <c r="E7" s="123" t="str">
        <f>'Process Design'!D335</f>
        <v>5.3.3</v>
      </c>
      <c r="F7" s="123"/>
    </row>
    <row r="8" spans="1:7" ht="87" x14ac:dyDescent="0.35">
      <c r="B8" s="123" t="s">
        <v>1562</v>
      </c>
      <c r="C8" s="123" t="s">
        <v>1569</v>
      </c>
      <c r="D8" s="123" t="s">
        <v>1620</v>
      </c>
      <c r="E8" s="123" t="s">
        <v>1639</v>
      </c>
      <c r="F8" s="134" t="s">
        <v>1638</v>
      </c>
    </row>
    <row r="9" spans="1:7" x14ac:dyDescent="0.35">
      <c r="B9" s="126" t="s">
        <v>1563</v>
      </c>
      <c r="C9" s="127"/>
      <c r="D9" s="127"/>
      <c r="E9" s="127"/>
      <c r="F9" s="127"/>
    </row>
    <row r="10" spans="1:7" ht="87" x14ac:dyDescent="0.35">
      <c r="B10" s="123" t="s">
        <v>1564</v>
      </c>
      <c r="C10" s="124" t="s">
        <v>1627</v>
      </c>
      <c r="D10" s="135" t="s">
        <v>1640</v>
      </c>
      <c r="E10" s="123" t="str">
        <f>"- "&amp;'Process Design'!D278&amp;"
- "&amp;'Process Design'!D334&amp;""</f>
        <v>- 5.1.3.1
- 5.3.2.5</v>
      </c>
      <c r="F10" s="123" t="s">
        <v>2222</v>
      </c>
    </row>
    <row r="11" spans="1:7" ht="116" x14ac:dyDescent="0.35">
      <c r="B11" s="123" t="s">
        <v>1570</v>
      </c>
      <c r="C11" s="124" t="s">
        <v>1621</v>
      </c>
      <c r="D11" s="124" t="s">
        <v>1635</v>
      </c>
      <c r="E11" s="124" t="str">
        <f>""&amp;'Process Design'!D338&amp;"
Portal checks - not explicitly added
"</f>
        <v xml:space="preserve">5.3.3.3
Portal checks - not explicitly added
</v>
      </c>
      <c r="F11" s="124"/>
    </row>
    <row r="12" spans="1:7" x14ac:dyDescent="0.35">
      <c r="B12" s="128" t="s">
        <v>1571</v>
      </c>
      <c r="C12" s="127"/>
      <c r="D12" s="127"/>
      <c r="E12" s="127"/>
      <c r="F12" s="127"/>
    </row>
    <row r="13" spans="1:7" ht="87" x14ac:dyDescent="0.35">
      <c r="B13" s="123" t="s">
        <v>1572</v>
      </c>
      <c r="C13" s="123" t="s">
        <v>1574</v>
      </c>
      <c r="D13" s="123" t="s">
        <v>1605</v>
      </c>
      <c r="E13" s="123" t="str">
        <f>'Process Design'!D351</f>
        <v>5.3.6.2</v>
      </c>
      <c r="F13" s="123" t="s">
        <v>1604</v>
      </c>
      <c r="G13" s="130" t="s">
        <v>1622</v>
      </c>
    </row>
    <row r="14" spans="1:7" ht="58" x14ac:dyDescent="0.35">
      <c r="B14" s="123" t="s">
        <v>1573</v>
      </c>
      <c r="C14" s="124" t="s">
        <v>1606</v>
      </c>
      <c r="D14" s="124" t="s">
        <v>1607</v>
      </c>
      <c r="E14" s="123" t="str">
        <f>'Process Design'!D352</f>
        <v>5.3.6.3</v>
      </c>
      <c r="F14" s="123" t="s">
        <v>1608</v>
      </c>
      <c r="G14" s="130" t="s">
        <v>1623</v>
      </c>
    </row>
    <row r="15" spans="1:7" ht="58" x14ac:dyDescent="0.35">
      <c r="B15" s="123" t="s">
        <v>1575</v>
      </c>
      <c r="C15" s="123" t="s">
        <v>1576</v>
      </c>
      <c r="D15" s="123" t="s">
        <v>1597</v>
      </c>
      <c r="E15" s="123" t="str">
        <f>'Process Design'!D109</f>
        <v>1.2.5.5</v>
      </c>
      <c r="F15" s="123" t="s">
        <v>1596</v>
      </c>
    </row>
    <row r="16" spans="1:7" x14ac:dyDescent="0.35">
      <c r="B16" s="126" t="s">
        <v>1577</v>
      </c>
      <c r="C16" s="127"/>
      <c r="D16" s="127"/>
      <c r="E16" s="127"/>
      <c r="F16" s="127"/>
    </row>
    <row r="17" spans="2:7" ht="58" x14ac:dyDescent="0.35">
      <c r="B17" s="123" t="s">
        <v>1578</v>
      </c>
      <c r="C17" s="123" t="s">
        <v>1583</v>
      </c>
      <c r="D17" s="131" t="s">
        <v>1624</v>
      </c>
      <c r="E17" s="123" t="str">
        <f>'Process Design'!D338</f>
        <v>5.3.3.3</v>
      </c>
      <c r="F17" s="123" t="s">
        <v>1598</v>
      </c>
    </row>
    <row r="18" spans="2:7" ht="58" x14ac:dyDescent="0.35">
      <c r="B18" s="123" t="s">
        <v>1579</v>
      </c>
      <c r="C18" s="123" t="s">
        <v>1625</v>
      </c>
      <c r="D18" s="123" t="s">
        <v>1782</v>
      </c>
      <c r="E18" s="131" t="str">
        <f>"- "&amp;'Process Design'!D59&amp;"
- "&amp;'Process Design'!D101&amp;"
- "&amp;'Process Design'!D111&amp;""</f>
        <v>- 1.1.5.18
- 1.2.4.14
- 1.2.5.7</v>
      </c>
      <c r="F18" s="123"/>
    </row>
    <row r="19" spans="2:7" ht="72.5" x14ac:dyDescent="0.35">
      <c r="B19" s="123" t="s">
        <v>1580</v>
      </c>
      <c r="C19" s="123" t="s">
        <v>1626</v>
      </c>
      <c r="D19" s="123" t="s">
        <v>1609</v>
      </c>
      <c r="E19" s="123" t="str">
        <f>"- "&amp;'Process Design'!D61&amp;"
- "&amp;'Process Design'!D102&amp;"
- "&amp;'Process Design'!D109&amp;""</f>
        <v>- 1.1.5.20
- 1.2.4.15
- 1.2.5.5</v>
      </c>
      <c r="F19" s="123"/>
    </row>
    <row r="20" spans="2:7" ht="43.5" x14ac:dyDescent="0.35">
      <c r="B20" s="123" t="s">
        <v>1581</v>
      </c>
      <c r="C20" s="123" t="s">
        <v>1599</v>
      </c>
      <c r="D20" s="123" t="s">
        <v>1610</v>
      </c>
      <c r="E20" s="123" t="str">
        <f>'Process Design'!D115</f>
        <v>1.2.6.3</v>
      </c>
      <c r="F20" s="123" t="s">
        <v>1611</v>
      </c>
    </row>
    <row r="21" spans="2:7" ht="58" x14ac:dyDescent="0.35">
      <c r="B21" s="123" t="s">
        <v>1582</v>
      </c>
      <c r="C21" s="123" t="s">
        <v>1584</v>
      </c>
      <c r="D21" s="123" t="s">
        <v>1600</v>
      </c>
      <c r="E21" s="123" t="str">
        <f>'Process Design'!D199</f>
        <v>3.4.1</v>
      </c>
      <c r="F21" s="123"/>
    </row>
    <row r="22" spans="2:7" x14ac:dyDescent="0.35">
      <c r="B22" s="128" t="s">
        <v>1586</v>
      </c>
      <c r="C22" s="129"/>
      <c r="D22" s="129"/>
      <c r="E22" s="129"/>
      <c r="F22" s="129"/>
    </row>
    <row r="23" spans="2:7" ht="116" x14ac:dyDescent="0.35">
      <c r="B23" s="123" t="s">
        <v>1585</v>
      </c>
      <c r="C23" s="123" t="s">
        <v>1588</v>
      </c>
      <c r="D23" s="123" t="s">
        <v>1612</v>
      </c>
      <c r="E23" s="124" t="s">
        <v>1918</v>
      </c>
      <c r="F23" s="133" t="s">
        <v>1613</v>
      </c>
      <c r="G23" s="132" t="s">
        <v>1634</v>
      </c>
    </row>
    <row r="24" spans="2:7" ht="58" x14ac:dyDescent="0.35">
      <c r="B24" s="123" t="s">
        <v>1614</v>
      </c>
      <c r="C24" s="123" t="s">
        <v>1587</v>
      </c>
      <c r="D24" s="123" t="s">
        <v>1605</v>
      </c>
      <c r="E24" s="123" t="str">
        <f>'Process Design'!D352</f>
        <v>5.3.6.3</v>
      </c>
      <c r="F24" s="123" t="s">
        <v>1615</v>
      </c>
    </row>
    <row r="25" spans="2:7" ht="72.5" x14ac:dyDescent="0.35">
      <c r="B25" s="123" t="s">
        <v>1590</v>
      </c>
      <c r="C25" s="124" t="s">
        <v>1601</v>
      </c>
      <c r="D25" s="123" t="s">
        <v>1595</v>
      </c>
      <c r="E25" s="123" t="str">
        <f>'Process Design'!D353</f>
        <v>5.3.6.4</v>
      </c>
      <c r="F25" s="123" t="s">
        <v>1602</v>
      </c>
    </row>
    <row r="26" spans="2:7" ht="72.5" x14ac:dyDescent="0.35">
      <c r="B26" s="123" t="s">
        <v>1589</v>
      </c>
      <c r="C26" s="123" t="s">
        <v>1591</v>
      </c>
      <c r="D26" s="123" t="s">
        <v>1595</v>
      </c>
      <c r="E26" s="123" t="str">
        <f>'Process Design'!D353</f>
        <v>5.3.6.4</v>
      </c>
      <c r="F26" s="123"/>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8C9DFA-007E-4B4B-A8CA-1B5338DB0554}">
  <dimension ref="E9:G14"/>
  <sheetViews>
    <sheetView workbookViewId="0">
      <selection activeCell="E9" sqref="E9:G14"/>
    </sheetView>
  </sheetViews>
  <sheetFormatPr defaultRowHeight="14.5" x14ac:dyDescent="0.35"/>
  <cols>
    <col min="5" max="7" width="45.81640625" customWidth="1"/>
    <col min="8" max="8" width="81.26953125" customWidth="1"/>
  </cols>
  <sheetData>
    <row r="9" spans="5:7" x14ac:dyDescent="0.35">
      <c r="E9" s="125" t="s">
        <v>1592</v>
      </c>
      <c r="F9" s="125" t="s">
        <v>1567</v>
      </c>
      <c r="G9" s="125" t="s">
        <v>1568</v>
      </c>
    </row>
    <row r="10" spans="5:7" ht="43.5" x14ac:dyDescent="0.35">
      <c r="E10" s="123" t="s">
        <v>1572</v>
      </c>
      <c r="F10" s="123" t="s">
        <v>1574</v>
      </c>
      <c r="G10" s="123" t="s">
        <v>1605</v>
      </c>
    </row>
    <row r="11" spans="5:7" ht="58" x14ac:dyDescent="0.35">
      <c r="E11" s="123" t="s">
        <v>1573</v>
      </c>
      <c r="F11" s="124" t="s">
        <v>1606</v>
      </c>
      <c r="G11" s="124" t="s">
        <v>1607</v>
      </c>
    </row>
    <row r="12" spans="5:7" ht="29" x14ac:dyDescent="0.35">
      <c r="E12" s="123" t="s">
        <v>1614</v>
      </c>
      <c r="F12" s="123" t="s">
        <v>1587</v>
      </c>
      <c r="G12" s="123" t="s">
        <v>1595</v>
      </c>
    </row>
    <row r="13" spans="5:7" ht="72.5" x14ac:dyDescent="0.35">
      <c r="E13" s="123" t="s">
        <v>1590</v>
      </c>
      <c r="F13" s="124" t="s">
        <v>1601</v>
      </c>
      <c r="G13" s="123" t="s">
        <v>1595</v>
      </c>
    </row>
    <row r="14" spans="5:7" ht="87" x14ac:dyDescent="0.35">
      <c r="E14" s="123" t="s">
        <v>1589</v>
      </c>
      <c r="F14" s="123" t="s">
        <v>1591</v>
      </c>
      <c r="G14" s="123" t="s">
        <v>1595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206628744CE51946ADB66BCF52F323DC" ma:contentTypeVersion="11" ma:contentTypeDescription="Create a new document." ma:contentTypeScope="" ma:versionID="5f36d2d4e5eddea471ae6046d506b049">
  <xsd:schema xmlns:xsd="http://www.w3.org/2001/XMLSchema" xmlns:xs="http://www.w3.org/2001/XMLSchema" xmlns:p="http://schemas.microsoft.com/office/2006/metadata/properties" xmlns:ns2="29115f49-e5c5-488a-80d4-8da2910cc337" xmlns:ns3="70fe8d3d-5646-4568-9447-c4635e77fdbb" targetNamespace="http://schemas.microsoft.com/office/2006/metadata/properties" ma:root="true" ma:fieldsID="c909590118b06ccbe65046c04bbd6857" ns2:_="" ns3:_="">
    <xsd:import namespace="29115f49-e5c5-488a-80d4-8da2910cc337"/>
    <xsd:import namespace="70fe8d3d-5646-4568-9447-c4635e77fdb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9115f49-e5c5-488a-80d4-8da2910cc33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6830aa7a-1173-4a8f-8fff-517453f03437"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70fe8d3d-5646-4568-9447-c4635e77fdbb"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b8c72bf-1221-485b-956e-de78fc89686d}" ma:internalName="TaxCatchAll" ma:showField="CatchAllData" ma:web="70fe8d3d-5646-4568-9447-c4635e77fdb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29115f49-e5c5-488a-80d4-8da2910cc337">
      <Terms xmlns="http://schemas.microsoft.com/office/infopath/2007/PartnerControls"/>
    </lcf76f155ced4ddcb4097134ff3c332f>
    <TaxCatchAll xmlns="70fe8d3d-5646-4568-9447-c4635e77fdbb" xsi:nil="true"/>
  </documentManagement>
</p:properties>
</file>

<file path=customXml/itemProps1.xml><?xml version="1.0" encoding="utf-8"?>
<ds:datastoreItem xmlns:ds="http://schemas.openxmlformats.org/officeDocument/2006/customXml" ds:itemID="{F943AA5B-8105-4ED4-B07B-437B7A81A455}">
  <ds:schemaRefs>
    <ds:schemaRef ds:uri="http://schemas.microsoft.com/sharepoint/v3/contenttype/forms"/>
  </ds:schemaRefs>
</ds:datastoreItem>
</file>

<file path=customXml/itemProps2.xml><?xml version="1.0" encoding="utf-8"?>
<ds:datastoreItem xmlns:ds="http://schemas.openxmlformats.org/officeDocument/2006/customXml" ds:itemID="{7BC627FC-EFEC-4E24-AC8E-16B0626DEF3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9115f49-e5c5-488a-80d4-8da2910cc337"/>
    <ds:schemaRef ds:uri="70fe8d3d-5646-4568-9447-c4635e77fdb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AE6AA50-3322-485E-918E-4968DDA5D5AA}">
  <ds:schemaRefs>
    <ds:schemaRef ds:uri="http://schemas.openxmlformats.org/package/2006/metadata/core-properties"/>
    <ds:schemaRef ds:uri="http://purl.org/dc/dcmitype/"/>
    <ds:schemaRef ds:uri="http://purl.org/dc/terms/"/>
    <ds:schemaRef ds:uri="70fe8d3d-5646-4568-9447-c4635e77fdbb"/>
    <ds:schemaRef ds:uri="http://purl.org/dc/elements/1.1/"/>
    <ds:schemaRef ds:uri="http://schemas.microsoft.com/office/2006/metadata/properties"/>
    <ds:schemaRef ds:uri="http://www.w3.org/XML/1998/namespace"/>
    <ds:schemaRef ds:uri="http://schemas.microsoft.com/office/2006/documentManagement/types"/>
    <ds:schemaRef ds:uri="http://schemas.microsoft.com/office/infopath/2007/PartnerControls"/>
    <ds:schemaRef ds:uri="29115f49-e5c5-488a-80d4-8da2910cc33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OTC Data Elements</vt:lpstr>
      <vt:lpstr>Process Design</vt:lpstr>
      <vt:lpstr>Mapping</vt:lpstr>
      <vt:lpstr>Unbilled Monitoring - extract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Dutta, Nilanjan</cp:lastModifiedBy>
  <cp:revision/>
  <dcterms:created xsi:type="dcterms:W3CDTF">2026-04-14T09:57:42Z</dcterms:created>
  <dcterms:modified xsi:type="dcterms:W3CDTF">2026-05-27T14:21:55Z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1f81cae-2cc7-434f-b11d-39789e497bf2_Enabled">
    <vt:lpwstr>true</vt:lpwstr>
  </property>
  <property fmtid="{D5CDD505-2E9C-101B-9397-08002B2CF9AE}" pid="3" name="MSIP_Label_31f81cae-2cc7-434f-b11d-39789e497bf2_SetDate">
    <vt:lpwstr>2026-04-14T11:36:01Z</vt:lpwstr>
  </property>
  <property fmtid="{D5CDD505-2E9C-101B-9397-08002B2CF9AE}" pid="4" name="MSIP_Label_31f81cae-2cc7-434f-b11d-39789e497bf2_Method">
    <vt:lpwstr>Standard</vt:lpwstr>
  </property>
  <property fmtid="{D5CDD505-2E9C-101B-9397-08002B2CF9AE}" pid="5" name="MSIP_Label_31f81cae-2cc7-434f-b11d-39789e497bf2_Name">
    <vt:lpwstr>Confidential</vt:lpwstr>
  </property>
  <property fmtid="{D5CDD505-2E9C-101B-9397-08002B2CF9AE}" pid="6" name="MSIP_Label_31f81cae-2cc7-434f-b11d-39789e497bf2_SiteId">
    <vt:lpwstr>dd5e230f-c165-49c4-957f-e203458fffab</vt:lpwstr>
  </property>
  <property fmtid="{D5CDD505-2E9C-101B-9397-08002B2CF9AE}" pid="7" name="MSIP_Label_31f81cae-2cc7-434f-b11d-39789e497bf2_ActionId">
    <vt:lpwstr>57946486-3283-4f5c-ab64-75070a55b5db</vt:lpwstr>
  </property>
  <property fmtid="{D5CDD505-2E9C-101B-9397-08002B2CF9AE}" pid="8" name="MSIP_Label_31f81cae-2cc7-434f-b11d-39789e497bf2_ContentBits">
    <vt:lpwstr>0</vt:lpwstr>
  </property>
  <property fmtid="{D5CDD505-2E9C-101B-9397-08002B2CF9AE}" pid="9" name="MSIP_Label_31f81cae-2cc7-434f-b11d-39789e497bf2_Tag">
    <vt:lpwstr>10, 3, 0, 1</vt:lpwstr>
  </property>
  <property fmtid="{D5CDD505-2E9C-101B-9397-08002B2CF9AE}" pid="10" name="MediaServiceImageTags">
    <vt:lpwstr/>
  </property>
  <property fmtid="{D5CDD505-2E9C-101B-9397-08002B2CF9AE}" pid="11" name="ContentTypeId">
    <vt:lpwstr>0x010100206628744CE51946ADB66BCF52F323DC</vt:lpwstr>
  </property>
</Properties>
</file>