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dutta\Work\Work Projects\Inzio\OTC process\backend\"/>
    </mc:Choice>
  </mc:AlternateContent>
  <xr:revisionPtr revIDLastSave="0" documentId="8_{C46DBBF3-BB36-463F-BF29-4FD042CE8B69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UPDATED Process Flow Data" sheetId="3" r:id="rId1"/>
    <sheet name="Instructions &amp; Lookups" sheetId="2" r:id="rId2"/>
  </sheets>
  <definedNames>
    <definedName name="_xlnm._FilterDatabase" localSheetId="0" hidden="1">'UPDATED Process Flow Data'!$A$4:$R$31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3" l="1"/>
  <c r="I36" i="3"/>
  <c r="I37" i="3"/>
  <c r="I38" i="3"/>
  <c r="I39" i="3"/>
  <c r="I32" i="3"/>
  <c r="I33" i="3"/>
  <c r="I34" i="3"/>
  <c r="I30" i="3"/>
  <c r="I27" i="3"/>
  <c r="I28" i="3"/>
  <c r="I29" i="3"/>
  <c r="I23" i="3"/>
  <c r="I24" i="3"/>
  <c r="I25" i="3"/>
  <c r="I26" i="3"/>
  <c r="I22" i="3"/>
  <c r="I21" i="3"/>
  <c r="I18" i="3"/>
  <c r="I19" i="3"/>
  <c r="I20" i="3"/>
  <c r="I31" i="3"/>
  <c r="I17" i="3"/>
  <c r="I8" i="3"/>
  <c r="I9" i="3"/>
  <c r="I10" i="3"/>
  <c r="I11" i="3"/>
  <c r="I12" i="3"/>
  <c r="I13" i="3"/>
  <c r="I14" i="3"/>
  <c r="I15" i="3"/>
  <c r="I7" i="3"/>
</calcChain>
</file>

<file path=xl/sharedStrings.xml><?xml version="1.0" encoding="utf-8"?>
<sst xmlns="http://schemas.openxmlformats.org/spreadsheetml/2006/main" count="422" uniqueCount="266">
  <si>
    <t>TO-BE PROCESS FLOW — DATA ENTRY TEMPLATE  |  Professional Services</t>
  </si>
  <si>
    <t>One row per step. Levels: L1 = End-to-end stage  |  L2 = Major process group  |  L3 = Sub-process  |  L4 = Task / activity</t>
  </si>
  <si>
    <t>x</t>
  </si>
  <si>
    <t>y</t>
  </si>
  <si>
    <t>To be updated</t>
  </si>
  <si>
    <t>Level
(L1-L4)</t>
  </si>
  <si>
    <t>Step
Number</t>
  </si>
  <si>
    <t>Step ID</t>
  </si>
  <si>
    <t>Step Name</t>
  </si>
  <si>
    <t>Step Description</t>
  </si>
  <si>
    <t>Step Type</t>
  </si>
  <si>
    <t>As-Is
Owner</t>
  </si>
  <si>
    <t>RACI –
Responsible</t>
  </si>
  <si>
    <t>RACI –
Accountable</t>
  </si>
  <si>
    <t>RACI –
Contributing</t>
  </si>
  <si>
    <t>System / Tool</t>
  </si>
  <si>
    <t>Key Data Points &amp; Dimensionality</t>
  </si>
  <si>
    <t>Key Questions</t>
  </si>
  <si>
    <t>Predecessor
Step(s)</t>
  </si>
  <si>
    <t>Successor
Step(s)</t>
  </si>
  <si>
    <t>Decision
Outcomes</t>
  </si>
  <si>
    <t>Change
Highlight</t>
  </si>
  <si>
    <t>Notes /
Comments</t>
  </si>
  <si>
    <t>Level</t>
  </si>
  <si>
    <t>Seq #</t>
  </si>
  <si>
    <t>Description</t>
  </si>
  <si>
    <t>Shape Type</t>
  </si>
  <si>
    <t>As-Is Owner</t>
  </si>
  <si>
    <t>Responsible (R)</t>
  </si>
  <si>
    <t>Accountable (A)</t>
  </si>
  <si>
    <t>Contributing (I)</t>
  </si>
  <si>
    <t>Predecessor</t>
  </si>
  <si>
    <t>Successor</t>
  </si>
  <si>
    <t>Decision Outcomes</t>
  </si>
  <si>
    <t>As-Is → To-Be Δ</t>
  </si>
  <si>
    <t>Notes</t>
  </si>
  <si>
    <t>L1</t>
  </si>
  <si>
    <t>1</t>
  </si>
  <si>
    <t>L1-01</t>
  </si>
  <si>
    <t>Order Capture</t>
  </si>
  <si>
    <t>End-to-end stage covering all activities from initial client engagement through to project activation and budget establishment.</t>
  </si>
  <si>
    <t>Start</t>
  </si>
  <si>
    <t>L1-02</t>
  </si>
  <si>
    <t>No change at L1 stage ownership</t>
  </si>
  <si>
    <t>L2</t>
  </si>
  <si>
    <t>1.1</t>
  </si>
  <si>
    <t>L2-01</t>
  </si>
  <si>
    <r>
      <t xml:space="preserve">Customer &amp; </t>
    </r>
    <r>
      <rPr>
        <b/>
        <sz val="9"/>
        <color rgb="FF7B2FBE"/>
        <rFont val="Arial"/>
        <family val="2"/>
      </rPr>
      <t>Contract</t>
    </r>
    <r>
      <rPr>
        <sz val="9"/>
        <color rgb="FF7B2FBE"/>
        <rFont val="Arial"/>
        <family val="2"/>
      </rPr>
      <t xml:space="preserve"> Setup (incl. portal setup)</t>
    </r>
  </si>
  <si>
    <t>Establish the client record, negotiate and execute the master services agreement, set up the client portal, and configure entitlements.</t>
  </si>
  <si>
    <t>Process</t>
  </si>
  <si>
    <t>Operations</t>
  </si>
  <si>
    <t>CLM / CRM</t>
  </si>
  <si>
    <t>New clients to be set up under IHL</t>
  </si>
  <si>
    <t>L2-02</t>
  </si>
  <si>
    <t>Portal setup to be automated via CLM integration in To-Be</t>
  </si>
  <si>
    <t>L3</t>
  </si>
  <si>
    <t>1.1.1</t>
  </si>
  <si>
    <t>L3-01</t>
  </si>
  <si>
    <t>Customer Initiation</t>
  </si>
  <si>
    <t xml:space="preserve">Receive new client / opportunity trigger from Sales/Business Development. Capture preliminary customer details (name, region, industry) </t>
  </si>
  <si>
    <t>Sales</t>
  </si>
  <si>
    <t>CRM</t>
  </si>
  <si>
    <t>New customers - Division becomes the Parent-lead</t>
  </si>
  <si>
    <t>L3-02</t>
  </si>
  <si>
    <t>To-Be: CRM → CLM auto-sync eliminates manual re-entry</t>
  </si>
  <si>
    <t>1.1.2</t>
  </si>
  <si>
    <t>Customer Master Data Creation &amp; Hierarchy Setup</t>
  </si>
  <si>
    <t>Create customer record in CRM/ERP (e.g., legal entity name, billing address, VAT number, etc.). Perform duplicate check. Assign customer ID and account owner. Define parent/child relationships if applicable (e.g., billing entity)</t>
  </si>
  <si>
    <t>Customer master data</t>
  </si>
  <si>
    <t>1.1.3</t>
  </si>
  <si>
    <t>Credit &amp; Compliance Screening</t>
  </si>
  <si>
    <t>Perform credit check / financial due diligence. Conduct compliance checks. Assign provisional payment terms and risk rating</t>
  </si>
  <si>
    <t>GFS - Credit</t>
  </si>
  <si>
    <t>ERP</t>
  </si>
  <si>
    <t>Credit &amp; risk score</t>
  </si>
  <si>
    <t>1.1.4</t>
  </si>
  <si>
    <t>Master Services Agreement (MSA) management</t>
  </si>
  <si>
    <t>Check for existing MSA and validate applicability. Draft MSA (if required) using standard templates.  Negotiate legal and high-level commercial terms. Execute agreement (signatures). Store in contract repository and link to customer record</t>
  </si>
  <si>
    <t>Process/Decision</t>
  </si>
  <si>
    <t>Legal</t>
  </si>
  <si>
    <t>CLM</t>
  </si>
  <si>
    <t>L4</t>
  </si>
  <si>
    <t>1.1.4.1</t>
  </si>
  <si>
    <t>L4-01</t>
  </si>
  <si>
    <t>Select MSA Template</t>
  </si>
  <si>
    <t>Choose the appropriate MSA template based on division and client region.</t>
  </si>
  <si>
    <t>L4-02</t>
  </si>
  <si>
    <t>Template library maintained by Legal</t>
  </si>
  <si>
    <t>1.1.4.2</t>
  </si>
  <si>
    <t>Populate High-level Commercial Terms</t>
  </si>
  <si>
    <t>Enter high-level commercial details including commercial model, rate card, agreed discount, payment terms (e.g. Net 30), currency and billing frequency into the contract template.</t>
  </si>
  <si>
    <t>Billing terms and frequency</t>
  </si>
  <si>
    <t>L4-03</t>
  </si>
  <si>
    <t>To-Be: rate card auto-populated from CRM opportunity</t>
  </si>
  <si>
    <t>1.1.4.3</t>
  </si>
  <si>
    <t>Non-Standard Terms?</t>
  </si>
  <si>
    <t>Determine whether any negotiated terms deviate from the approved playbook (e.g. standard terms, payment milestones).</t>
  </si>
  <si>
    <t>Decision</t>
  </si>
  <si>
    <t>L4-04, L4-05</t>
  </si>
  <si>
    <t>Yes – legal review | No – proceed to send</t>
  </si>
  <si>
    <t>1.1.4.4</t>
  </si>
  <si>
    <t>L4-05</t>
  </si>
  <si>
    <t>Send Contract to Client</t>
  </si>
  <si>
    <t>Transmit final contract to client signatories via e-signature link. Log send date and expected return date in CLM.</t>
  </si>
  <si>
    <t>L4-03, L4-04</t>
  </si>
  <si>
    <t>L3-03</t>
  </si>
  <si>
    <t>To-Be: send triggered automatically on approval</t>
  </si>
  <si>
    <t>1.1.4.5</t>
  </si>
  <si>
    <t>Client Reviews &amp; Signs Contract</t>
  </si>
  <si>
    <t>Client reviews the contract, raises redlines if applicable, and executes via e-signature platform.</t>
  </si>
  <si>
    <t>Client (external)</t>
  </si>
  <si>
    <t>DocuSign</t>
  </si>
  <si>
    <t>L3-04</t>
  </si>
  <si>
    <t>Redline cycle may add 5–15 business days</t>
  </si>
  <si>
    <t>1.1.4.6</t>
  </si>
  <si>
    <t>Contract Fully Executed?</t>
  </si>
  <si>
    <t>Confirm that all counterparty signatures are captured and the contract is legally binding before proceeding.</t>
  </si>
  <si>
    <t>L3-05, L3-06</t>
  </si>
  <si>
    <t>Yes – proceed | No – chase signatures</t>
  </si>
  <si>
    <t>To-Be: CLM auto-alerts on unsigned docs after 5 days</t>
  </si>
  <si>
    <t>1.1.4.7</t>
  </si>
  <si>
    <t>L3-06</t>
  </si>
  <si>
    <t>Set Up Client Portal &amp; Entitlements</t>
  </si>
  <si>
    <t>Provision the client's portal access, configure project visibility, set user roles and permissions, and confirm with the client that access is working.</t>
  </si>
  <si>
    <t>CLM / Client Portal</t>
  </si>
  <si>
    <t>L3-07</t>
  </si>
  <si>
    <t>To-Be: portal provisioned automatically on contract execution</t>
  </si>
  <si>
    <t>1.1.4.8</t>
  </si>
  <si>
    <t>Notify Order Management to Proceed</t>
  </si>
  <si>
    <t>Send internal handoff notification with contract summary, billing model, PO reference, and project start date to the Order Management team.</t>
  </si>
  <si>
    <t>To-Be: structured data handoff replaces email; drives L2-02 automatically</t>
  </si>
  <si>
    <t>1.2</t>
  </si>
  <si>
    <t>Order Entry &amp; Validation (incl. POs)</t>
  </si>
  <si>
    <t>Execute Statement of Work (SOW) incl. scope, deliverables, and pricing. Set up the contract/order in the ERP/PSA system and prepare for project setup</t>
  </si>
  <si>
    <t>Oracle / Maconomy</t>
  </si>
  <si>
    <t>For IHL-contracted engagements, do these activities defer to Parent/lead Division?</t>
  </si>
  <si>
    <t>L2-03</t>
  </si>
  <si>
    <t>1.2.1</t>
  </si>
  <si>
    <t>SOW initiation</t>
  </si>
  <si>
    <t>Receive new project opportunity (following 1.1.4.8 for new customers; point of origination for existing customesr)</t>
  </si>
  <si>
    <t>1.2.2</t>
  </si>
  <si>
    <t>Draft SOW</t>
  </si>
  <si>
    <t>Develop scope, deliverables and timelines. Define pricing and commercial terms. Align resourcing and effort with delivery. Generate SOW document</t>
  </si>
  <si>
    <t>1.2.2.1</t>
  </si>
  <si>
    <t>Define scope &amp; delivery approach</t>
  </si>
  <si>
    <t>Establish deliverables, timeline, milestones, dependencies, etc.</t>
  </si>
  <si>
    <t>1.2.2.2</t>
  </si>
  <si>
    <t>Define pricing &amp; commercial terms</t>
  </si>
  <si>
    <t>Determine pricing model, fees, billing structure and key commercial terms</t>
  </si>
  <si>
    <t>1.2.2.3</t>
  </si>
  <si>
    <t>Define resourcing &amp; effort</t>
  </si>
  <si>
    <t>Define resourcing and effort requirements to support delivery</t>
  </si>
  <si>
    <t>1.2.2.4</t>
  </si>
  <si>
    <t>Draft SOW document (CLM)</t>
  </si>
  <si>
    <t>Generate and populate SOW using standardised templates. Define billable vs. non-billable guidelines</t>
  </si>
  <si>
    <t>1.2.3</t>
  </si>
  <si>
    <t>Send SOW to Client</t>
  </si>
  <si>
    <t>Review and modify with client. Finalise SOW details</t>
  </si>
  <si>
    <t>1.2.4</t>
  </si>
  <si>
    <t>Client executes the final SOW via e-signature platform.</t>
  </si>
  <si>
    <t>1.2.5</t>
  </si>
  <si>
    <t>Contract setup / order entry</t>
  </si>
  <si>
    <t xml:space="preserve">Create contract/order record. Input pricing, billing structure and key terms. Link to customer. Configure billing schedule and triggers. Set revenue recognition method. </t>
  </si>
  <si>
    <r>
      <t xml:space="preserve">Project milestones and timeline. Pricing; commercial model; </t>
    </r>
    <r>
      <rPr>
        <sz val="9"/>
        <color rgb="FFFF0000"/>
        <rFont val="Arial"/>
        <family val="2"/>
      </rPr>
      <t>billing structure, cadence and triggers (exceptions to MSA require approval); payment terms</t>
    </r>
    <r>
      <rPr>
        <sz val="9"/>
        <color rgb="FF2E75B6"/>
        <rFont val="Arial"/>
      </rPr>
      <t>. Project resourcing. Revenue recognition method</t>
    </r>
  </si>
  <si>
    <t>1.2.6</t>
  </si>
  <si>
    <t>Data Validation</t>
  </si>
  <si>
    <t>Validate data across CRM, CLM and ERP. Confirm readiness for delivery. Trigger project activation</t>
  </si>
  <si>
    <t>Decision (automated)</t>
  </si>
  <si>
    <t>1.3</t>
  </si>
  <si>
    <t>Project Activation &amp; Budgeting</t>
  </si>
  <si>
    <t>Create and structure the project in the ERP/PSA system aligned to the executed SOW. Establish budgets, assign resources, and configure time, expense, and billing readiness. Activate the project to enable delivery, tracking, and invoicing</t>
  </si>
  <si>
    <t>PSA</t>
  </si>
  <si>
    <t>1.3.1</t>
  </si>
  <si>
    <t>Project initiation</t>
  </si>
  <si>
    <t xml:space="preserve">Receive signed SOW. Assign project manager </t>
  </si>
  <si>
    <t>1.3.2</t>
  </si>
  <si>
    <t>Project structure setup</t>
  </si>
  <si>
    <t>Create project record linked to SOW and customer data. Define work package (phases, activities, timeline, milestones) aligned to SOW</t>
  </si>
  <si>
    <t>1.3.3</t>
  </si>
  <si>
    <t>Budget setup</t>
  </si>
  <si>
    <t>Load revenue baseline from SOW. Define cost budget based on resourcing plan. Establish margin baseline</t>
  </si>
  <si>
    <t>Finance</t>
  </si>
  <si>
    <t>1.3.4</t>
  </si>
  <si>
    <t>Initial resourcing alignment</t>
  </si>
  <si>
    <t>Validate roles and capacity assumptions against SOW. Initiate coordination with resource management for staffing requirements</t>
  </si>
  <si>
    <t>1.3.5</t>
  </si>
  <si>
    <t>Time &amp; expense enablement</t>
  </si>
  <si>
    <t>Enable time entry against project. Configure expense policies and categories. Validate billable vs non-billable guidelines</t>
  </si>
  <si>
    <t>1.3.6</t>
  </si>
  <si>
    <t>Billing readiness validation</t>
  </si>
  <si>
    <t>Confirm billing configuration is correctly linked to project. Validate invoice triggers and schedule alignment. Ensure bill-to details and client data are correct</t>
  </si>
  <si>
    <t>1.3.7</t>
  </si>
  <si>
    <t>Project governance &amp; controls setup</t>
  </si>
  <si>
    <t>Define reporting cadence (status, financials). Establish change control process. Define approval matrix (timesheets, expenses, etc.)</t>
  </si>
  <si>
    <t>1.3.8</t>
  </si>
  <si>
    <t>Project activation (go-live)</t>
  </si>
  <si>
    <t>Validate all setup components are complete. Activate project for time, cost and billing. Notify stakeholders (Delivery, Finance, Sales)</t>
  </si>
  <si>
    <t>INSTRUCTIONS, HIERARCHY GUIDE &amp; VALID LOOKUP VALUES</t>
  </si>
  <si>
    <t>PROCESS HIERARCHY — HOW LEVELS WORK</t>
  </si>
  <si>
    <t>L1 — End-to-end Stage</t>
  </si>
  <si>
    <t>The top-level chevron headings (e.g. '1. Order Capture'). Typically 5–10 per organisation. Owned by a function.</t>
  </si>
  <si>
    <t>L2 — Major Process Group</t>
  </si>
  <si>
    <t>The large boxes within each L1 stage (e.g. '1.1 Customer &amp; Contract Setup'). These are swimlane rows in the diagram.</t>
  </si>
  <si>
    <t>L3 — Sub-process</t>
  </si>
  <si>
    <t>The detailed steps within each L2 group. These are the primary shapes in the flow diagram with connectors between them.</t>
  </si>
  <si>
    <t>L4 — Task / Activity</t>
  </si>
  <si>
    <t>Granular tasks within an L3 step. Used when a step is complex enough to need its own mini-flow or SOP drill-down.</t>
  </si>
  <si>
    <t>NUMBERING CONVENTION</t>
  </si>
  <si>
    <t>1, 2, 3 …</t>
  </si>
  <si>
    <t>1.1, 1.2, 2.1 …</t>
  </si>
  <si>
    <t>1.1.1, 1.1.2 … Use these as the Step ID prefix e.g. L3-01</t>
  </si>
  <si>
    <t>1.1.1.1, 1.1.1.2 … Prefix e.g. L4-01</t>
  </si>
  <si>
    <t>COLUMN GUIDE</t>
  </si>
  <si>
    <t>Level (A)</t>
  </si>
  <si>
    <t>L1 / L2 / L3 / L4 — controls row shading and diagram grouping.</t>
  </si>
  <si>
    <t>Step Number (B)</t>
  </si>
  <si>
    <t>Decimal sequence matching the hierarchy (see above).</t>
  </si>
  <si>
    <t>Step ID (C)</t>
  </si>
  <si>
    <t>Unique short code. Used by the generator to draw connector arrows. Must be unique across ALL rows.</t>
  </si>
  <si>
    <t>Step Name (D)</t>
  </si>
  <si>
    <t>Action-oriented label shown in the shape. Aim for ≤6 words at L3/L4.</t>
  </si>
  <si>
    <t>Step Description (E)</t>
  </si>
  <si>
    <t>Full sentence description of what happens. Used for hover-text or process narratives.</t>
  </si>
  <si>
    <t>Step Type (F)</t>
  </si>
  <si>
    <t>See valid values below.</t>
  </si>
  <si>
    <t>As-Is Owner (G)</t>
  </si>
  <si>
    <t>Role/team who owns this step TODAY. Orange = current state. Leave blank for new steps.</t>
  </si>
  <si>
    <t>To-Be Owner (H)</t>
  </si>
  <si>
    <t>Role/team who will own this step in the FUTURE STATE. Drives swimlane assignment.</t>
  </si>
  <si>
    <t>Responsible (I)</t>
  </si>
  <si>
    <t>Who DOES the work (R in RACI). Can be multiple roles — comma-separate.</t>
  </si>
  <si>
    <t>Accountable (J)</t>
  </si>
  <si>
    <t>Who is ultimately answerable (A in RACI). Typically one person.</t>
  </si>
  <si>
    <t>System / Tool (K)</t>
  </si>
  <si>
    <t>Application used to execute the step (e.g. CLM, Certinia, Maconomy, ERP, Email).</t>
  </si>
  <si>
    <t>Predecessor (L)</t>
  </si>
  <si>
    <t>Step ID(s) that come immediately BEFORE this step. Comma-separate multiples.</t>
  </si>
  <si>
    <t>Successor (M)</t>
  </si>
  <si>
    <t>Step ID(s) that come immediately AFTER this step.</t>
  </si>
  <si>
    <t>Decision Outcomes (N)</t>
  </si>
  <si>
    <t>For Decision shapes only: list outcome labels separated by '|' e.g. Yes | No | Escalate</t>
  </si>
  <si>
    <t>Change Highlight (O)</t>
  </si>
  <si>
    <t>Summarise the key As-Is → To-Be change for this step. Used for change impact analysis.</t>
  </si>
  <si>
    <t>Notes (P)</t>
  </si>
  <si>
    <t>Open questions, flags, caveats, SLA targets, loop-back explanations.</t>
  </si>
  <si>
    <t>VALID VALUES — Step Type (Column F)</t>
  </si>
  <si>
    <t>Oval. First step in the flow.</t>
  </si>
  <si>
    <t>End</t>
  </si>
  <si>
    <t>Oval. Last step (can be multiple).</t>
  </si>
  <si>
    <t>Rectangle. Standard activity.</t>
  </si>
  <si>
    <t>Diamond. Yes/No or branching point. Fill in Decision Outcomes column.</t>
  </si>
  <si>
    <t>Sub-process</t>
  </si>
  <si>
    <t>Rectangle with double border. Step has its own L4 drill-down.</t>
  </si>
  <si>
    <t>UPLOAD TIPS</t>
  </si>
  <si>
    <t>One row = one step</t>
  </si>
  <si>
    <t>Never merge data rows. Each step on its own row.</t>
  </si>
  <si>
    <t>Unique Step IDs</t>
  </si>
  <si>
    <t>Every row needs a unique Step ID — the generator uses it as primary key.</t>
  </si>
  <si>
    <t>Predecessor/Successor IDs</t>
  </si>
  <si>
    <t>Must exactly match Step IDs in column C.</t>
  </si>
  <si>
    <t>Filter by level</t>
  </si>
  <si>
    <t>Use the auto-filter on column A to work on one level at a time.</t>
  </si>
  <si>
    <t>Delete sample rows</t>
  </si>
  <si>
    <t>Remove sample rows 5 onwards before uploading, or leave them as reference.</t>
  </si>
  <si>
    <t>Save as .xlsx</t>
  </si>
  <si>
    <t>Generator accepts .xlsx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</si>
</sst>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3D1A6E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8"/>
      <color rgb="FFC0392B"/>
      <name val="Arial"/>
    </font>
    <font>
      <b/>
      <sz val="8"/>
      <color rgb="FF1A7A4A"/>
      <name val="Arial"/>
    </font>
    <font>
      <b/>
      <sz val="8"/>
      <color rgb="FF2E75B6"/>
      <name val="Arial"/>
    </font>
    <font>
      <b/>
      <sz val="8"/>
      <color rgb="FF3D1A6E"/>
      <name val="Arial"/>
    </font>
    <font>
      <b/>
      <sz val="8"/>
      <color rgb="FF8B6914"/>
      <name val="Arial"/>
    </font>
    <font>
      <b/>
      <sz val="9"/>
      <color rgb="FF4A0E8F"/>
      <name val="Arial"/>
    </font>
    <font>
      <b/>
      <sz val="9"/>
      <color rgb="FF000000"/>
      <name val="Arial"/>
    </font>
    <font>
      <sz val="9"/>
      <color rgb="FFC0392B"/>
      <name val="Arial"/>
    </font>
    <font>
      <sz val="9"/>
      <color rgb="FF1A7A4A"/>
      <name val="Arial"/>
    </font>
    <font>
      <sz val="9"/>
      <color rgb="FF2E75B6"/>
      <name val="Arial"/>
    </font>
    <font>
      <i/>
      <sz val="9"/>
      <color rgb="FF8B6914"/>
      <name val="Arial"/>
    </font>
    <font>
      <sz val="9"/>
      <color rgb="FF7B2FBE"/>
      <name val="Arial"/>
    </font>
    <font>
      <sz val="9"/>
      <color rgb="FF000000"/>
      <name val="Arial"/>
    </font>
    <font>
      <sz val="9"/>
      <color rgb="FF00897B"/>
      <name val="Arial"/>
    </font>
    <font>
      <sz val="9"/>
      <color rgb="FF1976D2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222222"/>
      <name val="Arial"/>
    </font>
    <font>
      <sz val="9"/>
      <name val="Arial"/>
    </font>
    <font>
      <sz val="11"/>
      <color rgb="FFFF0000"/>
      <name val="Calibri"/>
      <family val="2"/>
      <scheme val="minor"/>
    </font>
    <font>
      <sz val="9"/>
      <color rgb="FF00897B"/>
      <name val="Arial"/>
      <family val="2"/>
    </font>
    <font>
      <sz val="9"/>
      <color rgb="FF000000"/>
      <name val="Arial"/>
      <family val="2"/>
    </font>
    <font>
      <b/>
      <sz val="9"/>
      <color rgb="FF7B2FBE"/>
      <name val="Arial"/>
      <family val="2"/>
    </font>
    <font>
      <sz val="9"/>
      <color rgb="FF7B2FBE"/>
      <name val="Arial"/>
      <family val="2"/>
    </font>
    <font>
      <sz val="9"/>
      <color rgb="FF1976D2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2" tint="-0.499984740745262"/>
      <name val="Arial"/>
      <family val="2"/>
    </font>
    <font>
      <b/>
      <sz val="9"/>
      <color rgb="FFFFFFFF"/>
      <name val="Arial"/>
      <family val="2"/>
    </font>
    <font>
      <b/>
      <sz val="8"/>
      <color rgb="FF1A7A4A"/>
      <name val="Arial"/>
      <family val="2"/>
    </font>
    <font>
      <sz val="9"/>
      <color rgb="FFC0392B"/>
      <name val="Arial"/>
      <family val="2"/>
    </font>
    <font>
      <sz val="9"/>
      <color rgb="FF1A7A4A"/>
      <name val="Arial"/>
      <family val="2"/>
    </font>
    <font>
      <sz val="9"/>
      <color rgb="FF2E75B6"/>
      <name val="Arial"/>
      <family val="2"/>
    </font>
    <font>
      <sz val="11"/>
      <name val="Calibri"/>
      <family val="2"/>
      <scheme val="minor"/>
    </font>
    <font>
      <b/>
      <sz val="8"/>
      <color theme="2" tint="-0.499984740745262"/>
      <name val="Arial"/>
      <family val="2"/>
    </font>
    <font>
      <sz val="9"/>
      <color rgb="FFFF0000"/>
      <name val="Arial"/>
      <family val="2"/>
    </font>
    <font>
      <i/>
      <sz val="10"/>
      <color rgb="FF3D1A6E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3D1A6E"/>
      </patternFill>
    </fill>
    <fill>
      <patternFill patternType="solid">
        <fgColor rgb="FFD0F0EB"/>
      </patternFill>
    </fill>
    <fill>
      <patternFill patternType="solid">
        <fgColor rgb="FFC0392B"/>
      </patternFill>
    </fill>
    <fill>
      <patternFill patternType="solid">
        <fgColor rgb="FF1A7A4A"/>
      </patternFill>
    </fill>
    <fill>
      <patternFill patternType="solid">
        <fgColor rgb="FF2E75B6"/>
      </patternFill>
    </fill>
    <fill>
      <patternFill patternType="solid">
        <fgColor rgb="FF8B691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4A0E8F"/>
      </patternFill>
    </fill>
    <fill>
      <patternFill patternType="solid">
        <fgColor rgb="FFEDE0FF"/>
      </patternFill>
    </fill>
    <fill>
      <patternFill patternType="solid">
        <fgColor rgb="FF7B2FBE"/>
      </patternFill>
    </fill>
    <fill>
      <patternFill patternType="solid">
        <fgColor rgb="FFF5EEFF"/>
      </patternFill>
    </fill>
    <fill>
      <patternFill patternType="solid">
        <fgColor rgb="FF00897B"/>
      </patternFill>
    </fill>
    <fill>
      <patternFill patternType="solid">
        <fgColor rgb="FFE0F5F2"/>
      </patternFill>
    </fill>
    <fill>
      <patternFill patternType="solid">
        <fgColor rgb="FF1976D2"/>
      </patternFill>
    </fill>
    <fill>
      <patternFill patternType="solid">
        <fgColor rgb="FFE8F4FD"/>
      </patternFill>
    </fill>
    <fill>
      <patternFill patternType="solid">
        <fgColor rgb="FF00B09B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4" fillId="22" borderId="0" xfId="0" applyFont="1" applyFill="1"/>
    <xf numFmtId="0" fontId="25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left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4" fillId="22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38" fillId="0" borderId="0" xfId="0" applyFont="1"/>
    <xf numFmtId="0" fontId="26" fillId="16" borderId="1" xfId="0" applyFont="1" applyFill="1" applyBorder="1" applyAlignment="1">
      <alignment horizontal="left" vertical="center" wrapText="1"/>
    </xf>
    <xf numFmtId="0" fontId="33" fillId="23" borderId="1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left" vertical="center" wrapText="1"/>
    </xf>
    <xf numFmtId="0" fontId="4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1" fillId="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21" fillId="21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B2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A7A5-1588-4500-A59D-45BE517760DD}">
  <dimension ref="A1:R40"/>
  <sheetViews>
    <sheetView tabSelected="1" topLeftCell="F1" zoomScaleNormal="100" workbookViewId="0">
      <pane ySplit="5" topLeftCell="A7" activePane="bottomLeft" state="frozen"/>
      <selection pane="bottomLeft" activeCell="L4" sqref="L4"/>
    </sheetView>
  </sheetViews>
  <sheetFormatPr defaultRowHeight="14.5" outlineLevelCol="1" x14ac:dyDescent="0.35"/>
  <cols>
    <col min="1" max="2" width="9" customWidth="1"/>
    <col min="3" max="3" width="12" hidden="1" customWidth="1" outlineLevel="1"/>
    <col min="4" max="4" width="28" customWidth="1" collapsed="1"/>
    <col min="5" max="5" width="40" customWidth="1"/>
    <col min="6" max="6" width="14" customWidth="1"/>
    <col min="7" max="8" width="20" customWidth="1"/>
    <col min="9" max="10" width="22" customWidth="1"/>
    <col min="11" max="13" width="24" customWidth="1"/>
    <col min="14" max="15" width="18" customWidth="1"/>
    <col min="16" max="17" width="22" customWidth="1"/>
    <col min="18" max="18" width="30" customWidth="1"/>
  </cols>
  <sheetData>
    <row r="1" spans="1:18" ht="28" customHeight="1" x14ac:dyDescent="0.35">
      <c r="H1" s="54" t="s">
        <v>0</v>
      </c>
      <c r="I1" s="54"/>
      <c r="J1" s="54"/>
    </row>
    <row r="2" spans="1:18" ht="16" customHeight="1" x14ac:dyDescent="0.35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1:18" ht="16" customHeight="1" x14ac:dyDescent="0.35">
      <c r="A3" s="51" t="s">
        <v>2</v>
      </c>
      <c r="B3" t="s">
        <v>2</v>
      </c>
      <c r="D3" t="s">
        <v>2</v>
      </c>
      <c r="E3" t="s">
        <v>2</v>
      </c>
      <c r="F3" t="s">
        <v>2</v>
      </c>
      <c r="G3" s="46"/>
      <c r="H3" s="46" t="s">
        <v>2</v>
      </c>
      <c r="I3" s="46" t="s">
        <v>3</v>
      </c>
      <c r="J3" s="46" t="s">
        <v>3</v>
      </c>
      <c r="K3" s="46" t="s">
        <v>2</v>
      </c>
      <c r="L3" s="46" t="s">
        <v>2</v>
      </c>
      <c r="M3" s="46" t="s">
        <v>2</v>
      </c>
      <c r="N3" s="30" t="s">
        <v>4</v>
      </c>
      <c r="O3" s="30" t="s">
        <v>4</v>
      </c>
      <c r="P3" s="30" t="s">
        <v>4</v>
      </c>
      <c r="Q3" s="30" t="s">
        <v>4</v>
      </c>
      <c r="R3" s="30" t="s">
        <v>4</v>
      </c>
    </row>
    <row r="4" spans="1:18" ht="36" customHeight="1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2" t="s">
        <v>11</v>
      </c>
      <c r="H4" s="3" t="s">
        <v>12</v>
      </c>
      <c r="I4" s="39" t="s">
        <v>13</v>
      </c>
      <c r="J4" s="39" t="s">
        <v>14</v>
      </c>
      <c r="K4" s="4" t="s">
        <v>15</v>
      </c>
      <c r="L4" s="41" t="s">
        <v>16</v>
      </c>
      <c r="M4" s="48" t="s">
        <v>17</v>
      </c>
      <c r="N4" s="1" t="s">
        <v>18</v>
      </c>
      <c r="O4" s="1" t="s">
        <v>19</v>
      </c>
      <c r="P4" s="1" t="s">
        <v>20</v>
      </c>
      <c r="Q4" s="5" t="s">
        <v>21</v>
      </c>
      <c r="R4" s="1" t="s">
        <v>22</v>
      </c>
    </row>
    <row r="5" spans="1:18" ht="22" customHeight="1" x14ac:dyDescent="0.35">
      <c r="A5" s="6" t="s">
        <v>23</v>
      </c>
      <c r="B5" s="6" t="s">
        <v>24</v>
      </c>
      <c r="C5" s="6" t="s">
        <v>7</v>
      </c>
      <c r="D5" s="6" t="s">
        <v>8</v>
      </c>
      <c r="E5" s="6" t="s">
        <v>25</v>
      </c>
      <c r="F5" s="6" t="s">
        <v>26</v>
      </c>
      <c r="G5" s="7" t="s">
        <v>27</v>
      </c>
      <c r="H5" s="40" t="s">
        <v>28</v>
      </c>
      <c r="I5" s="40" t="s">
        <v>29</v>
      </c>
      <c r="J5" s="42" t="s">
        <v>30</v>
      </c>
      <c r="K5" s="8" t="s">
        <v>15</v>
      </c>
      <c r="L5" s="8"/>
      <c r="M5" s="49"/>
      <c r="N5" s="9" t="s">
        <v>31</v>
      </c>
      <c r="O5" s="9" t="s">
        <v>32</v>
      </c>
      <c r="P5" s="9" t="s">
        <v>33</v>
      </c>
      <c r="Q5" s="10" t="s">
        <v>34</v>
      </c>
      <c r="R5" s="9" t="s">
        <v>35</v>
      </c>
    </row>
    <row r="6" spans="1:18" ht="34" customHeight="1" x14ac:dyDescent="0.35">
      <c r="A6" s="11" t="s">
        <v>36</v>
      </c>
      <c r="B6" s="12" t="s">
        <v>37</v>
      </c>
      <c r="C6" s="12" t="s">
        <v>38</v>
      </c>
      <c r="D6" s="13" t="s">
        <v>39</v>
      </c>
      <c r="E6" s="14" t="s">
        <v>40</v>
      </c>
      <c r="F6" s="14" t="s">
        <v>41</v>
      </c>
      <c r="G6" s="43"/>
      <c r="H6" s="44"/>
      <c r="I6" s="44"/>
      <c r="J6" s="16"/>
      <c r="K6" s="17"/>
      <c r="L6" s="17"/>
      <c r="M6" s="50"/>
      <c r="N6" s="14"/>
      <c r="O6" s="14" t="s">
        <v>42</v>
      </c>
      <c r="P6" s="14"/>
      <c r="Q6" s="18" t="s">
        <v>43</v>
      </c>
      <c r="R6" s="14"/>
    </row>
    <row r="7" spans="1:18" ht="34" customHeight="1" x14ac:dyDescent="0.35">
      <c r="A7" s="19" t="s">
        <v>44</v>
      </c>
      <c r="B7" s="20" t="s">
        <v>45</v>
      </c>
      <c r="C7" s="20" t="s">
        <v>46</v>
      </c>
      <c r="D7" s="34" t="s">
        <v>47</v>
      </c>
      <c r="E7" s="22" t="s">
        <v>48</v>
      </c>
      <c r="F7" s="22" t="s">
        <v>49</v>
      </c>
      <c r="G7" s="15"/>
      <c r="H7" s="16" t="s">
        <v>50</v>
      </c>
      <c r="I7" s="16" t="str">
        <f>H7</f>
        <v>Operations</v>
      </c>
      <c r="J7" s="16"/>
      <c r="K7" s="17" t="s">
        <v>51</v>
      </c>
      <c r="L7" s="17"/>
      <c r="M7" s="50" t="s">
        <v>52</v>
      </c>
      <c r="N7" s="22" t="s">
        <v>38</v>
      </c>
      <c r="O7" s="22" t="s">
        <v>53</v>
      </c>
      <c r="P7" s="22"/>
      <c r="Q7" s="18" t="s">
        <v>54</v>
      </c>
      <c r="R7" s="22"/>
    </row>
    <row r="8" spans="1:18" ht="36" x14ac:dyDescent="0.35">
      <c r="A8" s="23" t="s">
        <v>55</v>
      </c>
      <c r="B8" s="24" t="s">
        <v>56</v>
      </c>
      <c r="C8" s="24" t="s">
        <v>57</v>
      </c>
      <c r="D8" s="32" t="s">
        <v>58</v>
      </c>
      <c r="E8" s="25" t="s">
        <v>59</v>
      </c>
      <c r="F8" s="25" t="s">
        <v>49</v>
      </c>
      <c r="G8" s="15"/>
      <c r="H8" s="16" t="s">
        <v>60</v>
      </c>
      <c r="I8" s="16" t="str">
        <f t="shared" ref="I8:I15" si="0">H8</f>
        <v>Sales</v>
      </c>
      <c r="J8" s="16"/>
      <c r="K8" s="45" t="s">
        <v>61</v>
      </c>
      <c r="L8" s="17"/>
      <c r="M8" s="50" t="s">
        <v>62</v>
      </c>
      <c r="N8" s="25" t="s">
        <v>46</v>
      </c>
      <c r="O8" s="25" t="s">
        <v>63</v>
      </c>
      <c r="P8" s="25"/>
      <c r="Q8" s="18" t="s">
        <v>64</v>
      </c>
      <c r="R8" s="25"/>
    </row>
    <row r="9" spans="1:18" ht="57.5" x14ac:dyDescent="0.35">
      <c r="A9" s="23" t="s">
        <v>55</v>
      </c>
      <c r="B9" s="31" t="s">
        <v>65</v>
      </c>
      <c r="C9" s="24"/>
      <c r="D9" s="32" t="s">
        <v>66</v>
      </c>
      <c r="E9" s="33" t="s">
        <v>67</v>
      </c>
      <c r="F9" s="25" t="s">
        <v>49</v>
      </c>
      <c r="G9" s="43"/>
      <c r="H9" s="16" t="s">
        <v>50</v>
      </c>
      <c r="I9" s="16" t="str">
        <f t="shared" si="0"/>
        <v>Operations</v>
      </c>
      <c r="J9" s="16"/>
      <c r="K9" s="45" t="s">
        <v>61</v>
      </c>
      <c r="L9" s="45" t="s">
        <v>68</v>
      </c>
      <c r="M9" s="50"/>
      <c r="N9" s="25"/>
      <c r="O9" s="25"/>
      <c r="P9" s="25"/>
      <c r="Q9" s="18"/>
      <c r="R9" s="25"/>
    </row>
    <row r="10" spans="1:18" ht="34.5" x14ac:dyDescent="0.35">
      <c r="A10" s="23" t="s">
        <v>55</v>
      </c>
      <c r="B10" s="31" t="s">
        <v>69</v>
      </c>
      <c r="C10" s="24"/>
      <c r="D10" s="32" t="s">
        <v>70</v>
      </c>
      <c r="E10" s="33" t="s">
        <v>71</v>
      </c>
      <c r="F10" s="25" t="s">
        <v>49</v>
      </c>
      <c r="G10" s="43"/>
      <c r="H10" s="16" t="s">
        <v>72</v>
      </c>
      <c r="I10" s="16" t="str">
        <f t="shared" si="0"/>
        <v>GFS - Credit</v>
      </c>
      <c r="J10" s="44" t="s">
        <v>60</v>
      </c>
      <c r="K10" s="45" t="s">
        <v>73</v>
      </c>
      <c r="L10" s="45" t="s">
        <v>74</v>
      </c>
      <c r="M10" s="50"/>
      <c r="N10" s="25"/>
      <c r="O10" s="25"/>
      <c r="P10" s="25"/>
      <c r="Q10" s="18"/>
      <c r="R10" s="25"/>
    </row>
    <row r="11" spans="1:18" ht="57.5" x14ac:dyDescent="0.35">
      <c r="A11" s="23" t="s">
        <v>55</v>
      </c>
      <c r="B11" s="31" t="s">
        <v>75</v>
      </c>
      <c r="C11" s="24"/>
      <c r="D11" s="32" t="s">
        <v>76</v>
      </c>
      <c r="E11" s="38" t="s">
        <v>77</v>
      </c>
      <c r="F11" s="33" t="s">
        <v>78</v>
      </c>
      <c r="G11" s="43"/>
      <c r="H11" s="16" t="s">
        <v>79</v>
      </c>
      <c r="I11" s="16" t="str">
        <f t="shared" si="0"/>
        <v>Legal</v>
      </c>
      <c r="J11" s="16"/>
      <c r="K11" s="45" t="s">
        <v>80</v>
      </c>
      <c r="L11" s="17"/>
      <c r="M11" s="50"/>
      <c r="N11" s="25"/>
      <c r="O11" s="25"/>
      <c r="P11" s="25"/>
      <c r="Q11" s="18"/>
      <c r="R11" s="25"/>
    </row>
    <row r="12" spans="1:18" ht="34" customHeight="1" x14ac:dyDescent="0.35">
      <c r="A12" s="26" t="s">
        <v>81</v>
      </c>
      <c r="B12" s="37" t="s">
        <v>82</v>
      </c>
      <c r="C12" s="27" t="s">
        <v>83</v>
      </c>
      <c r="D12" s="35" t="s">
        <v>84</v>
      </c>
      <c r="E12" s="36" t="s">
        <v>85</v>
      </c>
      <c r="F12" s="28" t="s">
        <v>49</v>
      </c>
      <c r="G12" s="43"/>
      <c r="H12" s="16" t="s">
        <v>79</v>
      </c>
      <c r="I12" s="16" t="str">
        <f t="shared" si="0"/>
        <v>Legal</v>
      </c>
      <c r="J12" s="16"/>
      <c r="K12" s="17" t="s">
        <v>80</v>
      </c>
      <c r="L12" s="17"/>
      <c r="M12" s="50" t="s">
        <v>52</v>
      </c>
      <c r="N12" s="28" t="s">
        <v>63</v>
      </c>
      <c r="O12" s="28" t="s">
        <v>86</v>
      </c>
      <c r="P12" s="28"/>
      <c r="Q12" s="18"/>
      <c r="R12" s="28" t="s">
        <v>87</v>
      </c>
    </row>
    <row r="13" spans="1:18" ht="34" customHeight="1" x14ac:dyDescent="0.35">
      <c r="A13" s="26" t="s">
        <v>81</v>
      </c>
      <c r="B13" s="37" t="s">
        <v>88</v>
      </c>
      <c r="C13" s="27" t="s">
        <v>86</v>
      </c>
      <c r="D13" s="35" t="s">
        <v>89</v>
      </c>
      <c r="E13" s="36" t="s">
        <v>90</v>
      </c>
      <c r="F13" s="28" t="s">
        <v>49</v>
      </c>
      <c r="G13" s="43"/>
      <c r="H13" s="16" t="s">
        <v>79</v>
      </c>
      <c r="I13" s="16" t="str">
        <f t="shared" si="0"/>
        <v>Legal</v>
      </c>
      <c r="J13" s="44" t="s">
        <v>60</v>
      </c>
      <c r="K13" s="17" t="s">
        <v>80</v>
      </c>
      <c r="L13" s="45" t="s">
        <v>91</v>
      </c>
      <c r="M13" s="50"/>
      <c r="N13" s="28" t="s">
        <v>83</v>
      </c>
      <c r="O13" s="28" t="s">
        <v>92</v>
      </c>
      <c r="P13" s="28"/>
      <c r="Q13" s="18" t="s">
        <v>93</v>
      </c>
      <c r="R13" s="28"/>
    </row>
    <row r="14" spans="1:18" ht="34" customHeight="1" x14ac:dyDescent="0.35">
      <c r="A14" s="26" t="s">
        <v>81</v>
      </c>
      <c r="B14" s="37" t="s">
        <v>94</v>
      </c>
      <c r="C14" s="27" t="s">
        <v>92</v>
      </c>
      <c r="D14" s="35" t="s">
        <v>95</v>
      </c>
      <c r="E14" s="36" t="s">
        <v>96</v>
      </c>
      <c r="F14" s="28" t="s">
        <v>97</v>
      </c>
      <c r="G14" s="43"/>
      <c r="H14" s="16" t="s">
        <v>79</v>
      </c>
      <c r="I14" s="16" t="str">
        <f t="shared" si="0"/>
        <v>Legal</v>
      </c>
      <c r="J14" s="16"/>
      <c r="K14" s="17" t="s">
        <v>80</v>
      </c>
      <c r="L14" s="45" t="s">
        <v>91</v>
      </c>
      <c r="M14" s="50"/>
      <c r="N14" s="28" t="s">
        <v>86</v>
      </c>
      <c r="O14" s="28" t="s">
        <v>98</v>
      </c>
      <c r="P14" s="28" t="s">
        <v>99</v>
      </c>
      <c r="Q14" s="18"/>
      <c r="R14" s="28"/>
    </row>
    <row r="15" spans="1:18" ht="34" customHeight="1" x14ac:dyDescent="0.35">
      <c r="A15" s="26" t="s">
        <v>81</v>
      </c>
      <c r="B15" s="37" t="s">
        <v>100</v>
      </c>
      <c r="C15" s="27" t="s">
        <v>101</v>
      </c>
      <c r="D15" s="35" t="s">
        <v>102</v>
      </c>
      <c r="E15" s="28" t="s">
        <v>103</v>
      </c>
      <c r="F15" s="28" t="s">
        <v>49</v>
      </c>
      <c r="G15" s="43"/>
      <c r="H15" s="16" t="s">
        <v>60</v>
      </c>
      <c r="I15" s="16" t="str">
        <f t="shared" si="0"/>
        <v>Sales</v>
      </c>
      <c r="J15" s="16"/>
      <c r="K15" s="17" t="s">
        <v>80</v>
      </c>
      <c r="L15" s="17"/>
      <c r="M15" s="50"/>
      <c r="N15" s="28" t="s">
        <v>104</v>
      </c>
      <c r="O15" s="28" t="s">
        <v>105</v>
      </c>
      <c r="P15" s="28"/>
      <c r="Q15" s="18" t="s">
        <v>106</v>
      </c>
      <c r="R15" s="28"/>
    </row>
    <row r="16" spans="1:18" ht="34" customHeight="1" x14ac:dyDescent="0.35">
      <c r="A16" s="26" t="s">
        <v>81</v>
      </c>
      <c r="B16" s="37" t="s">
        <v>107</v>
      </c>
      <c r="C16" s="27" t="s">
        <v>105</v>
      </c>
      <c r="D16" s="35" t="s">
        <v>108</v>
      </c>
      <c r="E16" s="28" t="s">
        <v>109</v>
      </c>
      <c r="F16" s="28" t="s">
        <v>49</v>
      </c>
      <c r="G16" s="43"/>
      <c r="H16" s="16" t="s">
        <v>110</v>
      </c>
      <c r="I16" s="44" t="s">
        <v>60</v>
      </c>
      <c r="J16" s="16"/>
      <c r="K16" s="45" t="s">
        <v>111</v>
      </c>
      <c r="L16" s="17"/>
      <c r="M16" s="50"/>
      <c r="N16" s="28" t="s">
        <v>63</v>
      </c>
      <c r="O16" s="28" t="s">
        <v>112</v>
      </c>
      <c r="P16" s="28"/>
      <c r="Q16" s="18"/>
      <c r="R16" s="28" t="s">
        <v>113</v>
      </c>
    </row>
    <row r="17" spans="1:18" ht="34" customHeight="1" x14ac:dyDescent="0.35">
      <c r="A17" s="26" t="s">
        <v>81</v>
      </c>
      <c r="B17" s="37" t="s">
        <v>114</v>
      </c>
      <c r="C17" s="27" t="s">
        <v>112</v>
      </c>
      <c r="D17" s="35" t="s">
        <v>115</v>
      </c>
      <c r="E17" s="28" t="s">
        <v>116</v>
      </c>
      <c r="F17" s="28" t="s">
        <v>97</v>
      </c>
      <c r="G17" s="43"/>
      <c r="H17" s="16" t="s">
        <v>79</v>
      </c>
      <c r="I17" s="16" t="str">
        <f>H17</f>
        <v>Legal</v>
      </c>
      <c r="J17" s="16"/>
      <c r="K17" s="45" t="s">
        <v>80</v>
      </c>
      <c r="L17" s="17"/>
      <c r="M17" s="50"/>
      <c r="N17" s="28" t="s">
        <v>105</v>
      </c>
      <c r="O17" s="28" t="s">
        <v>117</v>
      </c>
      <c r="P17" s="28" t="s">
        <v>118</v>
      </c>
      <c r="Q17" s="18" t="s">
        <v>119</v>
      </c>
      <c r="R17" s="28"/>
    </row>
    <row r="18" spans="1:18" ht="34" customHeight="1" x14ac:dyDescent="0.35">
      <c r="A18" s="26" t="s">
        <v>81</v>
      </c>
      <c r="B18" s="37" t="s">
        <v>120</v>
      </c>
      <c r="C18" s="27" t="s">
        <v>121</v>
      </c>
      <c r="D18" s="35" t="s">
        <v>122</v>
      </c>
      <c r="E18" s="28" t="s">
        <v>123</v>
      </c>
      <c r="F18" s="28" t="s">
        <v>49</v>
      </c>
      <c r="G18" s="43"/>
      <c r="H18" s="16" t="s">
        <v>50</v>
      </c>
      <c r="I18" s="16" t="str">
        <f t="shared" ref="I18:I39" si="1">H18</f>
        <v>Operations</v>
      </c>
      <c r="J18" s="44"/>
      <c r="K18" s="17" t="s">
        <v>124</v>
      </c>
      <c r="L18" s="17"/>
      <c r="M18" s="50"/>
      <c r="N18" s="28" t="s">
        <v>112</v>
      </c>
      <c r="O18" s="28" t="s">
        <v>125</v>
      </c>
      <c r="P18" s="28"/>
      <c r="Q18" s="18" t="s">
        <v>126</v>
      </c>
      <c r="R18" s="28"/>
    </row>
    <row r="19" spans="1:18" ht="34" customHeight="1" x14ac:dyDescent="0.35">
      <c r="A19" s="26" t="s">
        <v>81</v>
      </c>
      <c r="B19" s="37" t="s">
        <v>127</v>
      </c>
      <c r="C19" s="27" t="s">
        <v>125</v>
      </c>
      <c r="D19" s="35" t="s">
        <v>128</v>
      </c>
      <c r="E19" s="28" t="s">
        <v>129</v>
      </c>
      <c r="F19" s="28" t="s">
        <v>49</v>
      </c>
      <c r="G19" s="43"/>
      <c r="H19" s="16" t="s">
        <v>50</v>
      </c>
      <c r="I19" s="16" t="str">
        <f t="shared" si="1"/>
        <v>Operations</v>
      </c>
      <c r="J19" s="16"/>
      <c r="K19" s="45" t="s">
        <v>80</v>
      </c>
      <c r="L19" s="17"/>
      <c r="M19" s="50"/>
      <c r="N19" s="28" t="s">
        <v>121</v>
      </c>
      <c r="O19" s="28" t="s">
        <v>53</v>
      </c>
      <c r="P19" s="28"/>
      <c r="Q19" s="18" t="s">
        <v>130</v>
      </c>
      <c r="R19" s="28"/>
    </row>
    <row r="20" spans="1:18" ht="49.5" customHeight="1" x14ac:dyDescent="0.35">
      <c r="A20" s="19" t="s">
        <v>44</v>
      </c>
      <c r="B20" s="20" t="s">
        <v>131</v>
      </c>
      <c r="C20" s="20" t="s">
        <v>53</v>
      </c>
      <c r="D20" s="34" t="s">
        <v>132</v>
      </c>
      <c r="E20" s="47" t="s">
        <v>133</v>
      </c>
      <c r="F20" s="22" t="s">
        <v>49</v>
      </c>
      <c r="G20" s="15"/>
      <c r="H20" s="16" t="s">
        <v>50</v>
      </c>
      <c r="I20" s="16" t="str">
        <f t="shared" si="1"/>
        <v>Operations</v>
      </c>
      <c r="J20" s="16"/>
      <c r="K20" s="17" t="s">
        <v>134</v>
      </c>
      <c r="L20" s="17"/>
      <c r="M20" s="50" t="s">
        <v>135</v>
      </c>
      <c r="N20" s="22" t="s">
        <v>46</v>
      </c>
      <c r="O20" s="22" t="s">
        <v>136</v>
      </c>
      <c r="P20" s="22"/>
      <c r="Q20" s="18"/>
      <c r="R20" s="22"/>
    </row>
    <row r="21" spans="1:18" ht="34.5" x14ac:dyDescent="0.35">
      <c r="A21" s="23" t="s">
        <v>55</v>
      </c>
      <c r="B21" s="31" t="s">
        <v>137</v>
      </c>
      <c r="C21" s="24"/>
      <c r="D21" s="32" t="s">
        <v>138</v>
      </c>
      <c r="E21" s="38" t="s">
        <v>139</v>
      </c>
      <c r="F21" s="33" t="s">
        <v>49</v>
      </c>
      <c r="G21" s="43"/>
      <c r="H21" s="16" t="s">
        <v>50</v>
      </c>
      <c r="I21" s="16" t="str">
        <f t="shared" si="1"/>
        <v>Operations</v>
      </c>
      <c r="J21" s="16"/>
      <c r="K21" s="45"/>
      <c r="L21" s="17"/>
      <c r="M21" s="50"/>
      <c r="N21" s="25"/>
      <c r="O21" s="25"/>
      <c r="P21" s="25"/>
      <c r="Q21" s="18"/>
      <c r="R21" s="25"/>
    </row>
    <row r="22" spans="1:18" ht="34.5" x14ac:dyDescent="0.35">
      <c r="A22" s="23" t="s">
        <v>55</v>
      </c>
      <c r="B22" s="31" t="s">
        <v>140</v>
      </c>
      <c r="C22" s="24"/>
      <c r="D22" s="32" t="s">
        <v>141</v>
      </c>
      <c r="E22" s="38" t="s">
        <v>142</v>
      </c>
      <c r="F22" s="33" t="s">
        <v>49</v>
      </c>
      <c r="G22" s="43"/>
      <c r="H22" s="16" t="s">
        <v>50</v>
      </c>
      <c r="I22" s="16" t="str">
        <f t="shared" si="1"/>
        <v>Operations</v>
      </c>
      <c r="J22" s="16"/>
      <c r="K22" s="45" t="s">
        <v>80</v>
      </c>
      <c r="L22" s="17"/>
      <c r="M22" s="50"/>
      <c r="N22" s="25"/>
      <c r="O22" s="25"/>
      <c r="P22" s="25"/>
      <c r="Q22" s="18"/>
      <c r="R22" s="25"/>
    </row>
    <row r="23" spans="1:18" ht="23" x14ac:dyDescent="0.35">
      <c r="A23" s="26" t="s">
        <v>81</v>
      </c>
      <c r="B23" s="37" t="s">
        <v>143</v>
      </c>
      <c r="C23" s="27"/>
      <c r="D23" s="35" t="s">
        <v>144</v>
      </c>
      <c r="E23" s="28" t="s">
        <v>145</v>
      </c>
      <c r="F23" s="28" t="s">
        <v>49</v>
      </c>
      <c r="G23" s="43"/>
      <c r="H23" s="16" t="s">
        <v>50</v>
      </c>
      <c r="I23" s="16" t="str">
        <f t="shared" si="1"/>
        <v>Operations</v>
      </c>
      <c r="J23" s="16"/>
      <c r="K23" s="45"/>
      <c r="L23" s="17"/>
      <c r="M23" s="50"/>
      <c r="N23" s="25"/>
      <c r="O23" s="25"/>
      <c r="P23" s="25"/>
      <c r="Q23" s="18"/>
      <c r="R23" s="25"/>
    </row>
    <row r="24" spans="1:18" ht="23" x14ac:dyDescent="0.35">
      <c r="A24" s="26" t="s">
        <v>81</v>
      </c>
      <c r="B24" s="37" t="s">
        <v>146</v>
      </c>
      <c r="C24" s="24"/>
      <c r="D24" s="35" t="s">
        <v>147</v>
      </c>
      <c r="E24" s="28" t="s">
        <v>148</v>
      </c>
      <c r="F24" s="28" t="s">
        <v>49</v>
      </c>
      <c r="G24" s="43"/>
      <c r="H24" s="16" t="s">
        <v>50</v>
      </c>
      <c r="I24" s="16" t="str">
        <f t="shared" si="1"/>
        <v>Operations</v>
      </c>
      <c r="J24" s="16"/>
      <c r="K24" s="45"/>
      <c r="L24" s="17"/>
      <c r="M24" s="50"/>
      <c r="N24" s="25"/>
      <c r="O24" s="25"/>
      <c r="P24" s="25"/>
      <c r="Q24" s="18"/>
      <c r="R24" s="25"/>
    </row>
    <row r="25" spans="1:18" ht="23" x14ac:dyDescent="0.35">
      <c r="A25" s="26" t="s">
        <v>81</v>
      </c>
      <c r="B25" s="37" t="s">
        <v>149</v>
      </c>
      <c r="C25" s="24"/>
      <c r="D25" s="35" t="s">
        <v>150</v>
      </c>
      <c r="E25" s="28" t="s">
        <v>151</v>
      </c>
      <c r="F25" s="28" t="s">
        <v>49</v>
      </c>
      <c r="G25" s="43"/>
      <c r="H25" s="16" t="s">
        <v>50</v>
      </c>
      <c r="I25" s="16" t="str">
        <f t="shared" si="1"/>
        <v>Operations</v>
      </c>
      <c r="J25" s="16"/>
      <c r="K25" s="45"/>
      <c r="L25" s="17"/>
      <c r="M25" s="50"/>
      <c r="N25" s="25"/>
      <c r="O25" s="25"/>
      <c r="P25" s="25"/>
      <c r="Q25" s="18"/>
      <c r="R25" s="25"/>
    </row>
    <row r="26" spans="1:18" ht="23" x14ac:dyDescent="0.35">
      <c r="A26" s="26" t="s">
        <v>81</v>
      </c>
      <c r="B26" s="37" t="s">
        <v>152</v>
      </c>
      <c r="C26" s="24"/>
      <c r="D26" s="35" t="s">
        <v>153</v>
      </c>
      <c r="E26" s="28" t="s">
        <v>154</v>
      </c>
      <c r="F26" s="28" t="s">
        <v>49</v>
      </c>
      <c r="G26" s="43"/>
      <c r="H26" s="16" t="s">
        <v>50</v>
      </c>
      <c r="I26" s="16" t="str">
        <f t="shared" si="1"/>
        <v>Operations</v>
      </c>
      <c r="J26" s="16"/>
      <c r="K26" s="45"/>
      <c r="L26" s="17"/>
      <c r="M26" s="50"/>
      <c r="N26" s="25"/>
      <c r="O26" s="25"/>
      <c r="P26" s="25"/>
      <c r="Q26" s="18"/>
      <c r="R26" s="25"/>
    </row>
    <row r="27" spans="1:18" x14ac:dyDescent="0.35">
      <c r="A27" s="23" t="s">
        <v>55</v>
      </c>
      <c r="B27" s="31" t="s">
        <v>155</v>
      </c>
      <c r="C27" s="24"/>
      <c r="D27" s="32" t="s">
        <v>156</v>
      </c>
      <c r="E27" s="38" t="s">
        <v>157</v>
      </c>
      <c r="F27" s="33" t="s">
        <v>49</v>
      </c>
      <c r="G27" s="43"/>
      <c r="H27" s="16" t="s">
        <v>50</v>
      </c>
      <c r="I27" s="16" t="str">
        <f t="shared" si="1"/>
        <v>Operations</v>
      </c>
      <c r="J27" s="16"/>
      <c r="K27" s="45"/>
      <c r="L27" s="17"/>
      <c r="M27" s="50"/>
      <c r="N27" s="25"/>
      <c r="O27" s="25"/>
      <c r="P27" s="25"/>
      <c r="Q27" s="18"/>
      <c r="R27" s="25"/>
    </row>
    <row r="28" spans="1:18" ht="23" x14ac:dyDescent="0.35">
      <c r="A28" s="23" t="s">
        <v>55</v>
      </c>
      <c r="B28" s="31" t="s">
        <v>158</v>
      </c>
      <c r="C28" s="24"/>
      <c r="D28" s="32" t="s">
        <v>108</v>
      </c>
      <c r="E28" s="38" t="s">
        <v>159</v>
      </c>
      <c r="F28" s="33" t="s">
        <v>49</v>
      </c>
      <c r="G28" s="43"/>
      <c r="H28" s="16" t="s">
        <v>50</v>
      </c>
      <c r="I28" s="16" t="str">
        <f t="shared" si="1"/>
        <v>Operations</v>
      </c>
      <c r="J28" s="16"/>
      <c r="K28" s="45" t="s">
        <v>111</v>
      </c>
      <c r="L28" s="17"/>
      <c r="M28" s="50"/>
      <c r="N28" s="25"/>
      <c r="O28" s="25"/>
      <c r="P28" s="25"/>
      <c r="Q28" s="18"/>
      <c r="R28" s="25"/>
    </row>
    <row r="29" spans="1:18" ht="80.5" x14ac:dyDescent="0.35">
      <c r="A29" s="23" t="s">
        <v>55</v>
      </c>
      <c r="B29" s="31" t="s">
        <v>160</v>
      </c>
      <c r="C29" s="24"/>
      <c r="D29" s="32" t="s">
        <v>161</v>
      </c>
      <c r="E29" s="38" t="s">
        <v>162</v>
      </c>
      <c r="F29" s="33" t="s">
        <v>49</v>
      </c>
      <c r="G29" s="43"/>
      <c r="H29" s="16" t="s">
        <v>50</v>
      </c>
      <c r="I29" s="16" t="str">
        <f t="shared" si="1"/>
        <v>Operations</v>
      </c>
      <c r="J29" s="16"/>
      <c r="K29" s="45" t="s">
        <v>73</v>
      </c>
      <c r="L29" s="45" t="s">
        <v>163</v>
      </c>
      <c r="M29" s="50"/>
      <c r="N29" s="25"/>
      <c r="O29" s="25"/>
      <c r="P29" s="25"/>
      <c r="Q29" s="18"/>
      <c r="R29" s="25"/>
    </row>
    <row r="30" spans="1:18" ht="23" x14ac:dyDescent="0.35">
      <c r="A30" s="23" t="s">
        <v>55</v>
      </c>
      <c r="B30" s="31" t="s">
        <v>164</v>
      </c>
      <c r="C30" s="24"/>
      <c r="D30" s="32" t="s">
        <v>165</v>
      </c>
      <c r="E30" s="38" t="s">
        <v>166</v>
      </c>
      <c r="F30" s="33" t="s">
        <v>167</v>
      </c>
      <c r="G30" s="43"/>
      <c r="H30" s="16" t="s">
        <v>50</v>
      </c>
      <c r="I30" s="16" t="str">
        <f t="shared" si="1"/>
        <v>Operations</v>
      </c>
      <c r="J30" s="16"/>
      <c r="K30" s="45" t="s">
        <v>73</v>
      </c>
      <c r="L30" s="17"/>
      <c r="M30" s="50"/>
      <c r="N30" s="25"/>
      <c r="O30" s="25"/>
      <c r="P30" s="25"/>
      <c r="Q30" s="18"/>
      <c r="R30" s="25"/>
    </row>
    <row r="31" spans="1:18" ht="57.5" x14ac:dyDescent="0.35">
      <c r="A31" s="19" t="s">
        <v>44</v>
      </c>
      <c r="B31" s="20" t="s">
        <v>168</v>
      </c>
      <c r="C31" s="20" t="s">
        <v>136</v>
      </c>
      <c r="D31" s="21" t="s">
        <v>169</v>
      </c>
      <c r="E31" s="47" t="s">
        <v>170</v>
      </c>
      <c r="F31" s="22" t="s">
        <v>49</v>
      </c>
      <c r="G31" s="15"/>
      <c r="H31" s="16" t="s">
        <v>50</v>
      </c>
      <c r="I31" s="16" t="str">
        <f t="shared" si="1"/>
        <v>Operations</v>
      </c>
      <c r="J31" s="16"/>
      <c r="K31" s="17" t="s">
        <v>171</v>
      </c>
      <c r="L31" s="17"/>
      <c r="M31" s="50"/>
      <c r="N31" s="22" t="s">
        <v>53</v>
      </c>
      <c r="O31" s="22" t="s">
        <v>42</v>
      </c>
      <c r="P31" s="22"/>
      <c r="Q31" s="18"/>
      <c r="R31" s="22"/>
    </row>
    <row r="32" spans="1:18" x14ac:dyDescent="0.35">
      <c r="A32" s="23" t="s">
        <v>55</v>
      </c>
      <c r="B32" s="31" t="s">
        <v>172</v>
      </c>
      <c r="C32" s="24"/>
      <c r="D32" s="32" t="s">
        <v>173</v>
      </c>
      <c r="E32" s="38" t="s">
        <v>174</v>
      </c>
      <c r="F32" s="33" t="s">
        <v>49</v>
      </c>
      <c r="G32" s="43"/>
      <c r="H32" s="16" t="s">
        <v>50</v>
      </c>
      <c r="I32" s="16" t="str">
        <f t="shared" si="1"/>
        <v>Operations</v>
      </c>
      <c r="J32" s="16"/>
      <c r="K32" s="45" t="s">
        <v>171</v>
      </c>
      <c r="L32" s="17"/>
      <c r="M32" s="50"/>
      <c r="N32" s="25"/>
      <c r="O32" s="25"/>
      <c r="P32" s="25"/>
      <c r="Q32" s="18"/>
      <c r="R32" s="25"/>
    </row>
    <row r="33" spans="1:18" ht="34.5" x14ac:dyDescent="0.35">
      <c r="A33" s="23" t="s">
        <v>55</v>
      </c>
      <c r="B33" s="31" t="s">
        <v>175</v>
      </c>
      <c r="C33" s="24"/>
      <c r="D33" s="32" t="s">
        <v>176</v>
      </c>
      <c r="E33" s="38" t="s">
        <v>177</v>
      </c>
      <c r="F33" s="33" t="s">
        <v>49</v>
      </c>
      <c r="G33" s="43"/>
      <c r="H33" s="16" t="s">
        <v>50</v>
      </c>
      <c r="I33" s="16" t="str">
        <f t="shared" si="1"/>
        <v>Operations</v>
      </c>
      <c r="J33" s="16"/>
      <c r="K33" s="45" t="s">
        <v>171</v>
      </c>
      <c r="L33" s="17"/>
      <c r="M33" s="50"/>
      <c r="N33" s="25"/>
      <c r="O33" s="25"/>
      <c r="P33" s="25"/>
      <c r="Q33" s="18"/>
      <c r="R33" s="25"/>
    </row>
    <row r="34" spans="1:18" ht="34.5" x14ac:dyDescent="0.35">
      <c r="A34" s="23" t="s">
        <v>55</v>
      </c>
      <c r="B34" s="31" t="s">
        <v>178</v>
      </c>
      <c r="C34" s="24"/>
      <c r="D34" s="32" t="s">
        <v>179</v>
      </c>
      <c r="E34" s="38" t="s">
        <v>180</v>
      </c>
      <c r="F34" s="33" t="s">
        <v>49</v>
      </c>
      <c r="G34" s="43"/>
      <c r="H34" s="16" t="s">
        <v>50</v>
      </c>
      <c r="I34" s="16" t="str">
        <f t="shared" si="1"/>
        <v>Operations</v>
      </c>
      <c r="J34" s="16" t="s">
        <v>181</v>
      </c>
      <c r="K34" s="45" t="s">
        <v>171</v>
      </c>
      <c r="L34" s="17"/>
      <c r="M34" s="50"/>
      <c r="N34" s="25"/>
      <c r="O34" s="25"/>
      <c r="P34" s="25"/>
      <c r="Q34" s="18"/>
      <c r="R34" s="25"/>
    </row>
    <row r="35" spans="1:18" ht="34.5" x14ac:dyDescent="0.35">
      <c r="A35" s="23" t="s">
        <v>55</v>
      </c>
      <c r="B35" s="31" t="s">
        <v>182</v>
      </c>
      <c r="C35" s="24"/>
      <c r="D35" s="32" t="s">
        <v>183</v>
      </c>
      <c r="E35" s="38" t="s">
        <v>184</v>
      </c>
      <c r="F35" s="33" t="s">
        <v>49</v>
      </c>
      <c r="G35" s="43"/>
      <c r="H35" s="16" t="s">
        <v>50</v>
      </c>
      <c r="I35" s="16" t="str">
        <f t="shared" si="1"/>
        <v>Operations</v>
      </c>
      <c r="J35" s="16"/>
      <c r="K35" s="45" t="s">
        <v>171</v>
      </c>
      <c r="L35" s="17"/>
      <c r="M35" s="50"/>
      <c r="N35" s="25"/>
      <c r="O35" s="25"/>
      <c r="P35" s="25"/>
      <c r="Q35" s="18"/>
      <c r="R35" s="25"/>
    </row>
    <row r="36" spans="1:18" ht="34.5" x14ac:dyDescent="0.35">
      <c r="A36" s="23" t="s">
        <v>55</v>
      </c>
      <c r="B36" s="31" t="s">
        <v>185</v>
      </c>
      <c r="C36" s="24"/>
      <c r="D36" s="32" t="s">
        <v>186</v>
      </c>
      <c r="E36" s="38" t="s">
        <v>187</v>
      </c>
      <c r="F36" s="33" t="s">
        <v>49</v>
      </c>
      <c r="G36" s="43"/>
      <c r="H36" s="16" t="s">
        <v>50</v>
      </c>
      <c r="I36" s="16" t="str">
        <f t="shared" si="1"/>
        <v>Operations</v>
      </c>
      <c r="J36" s="16"/>
      <c r="K36" s="45" t="s">
        <v>171</v>
      </c>
      <c r="L36" s="17"/>
      <c r="M36" s="50"/>
      <c r="N36" s="25"/>
      <c r="O36" s="25"/>
      <c r="P36" s="25"/>
      <c r="Q36" s="18"/>
      <c r="R36" s="25"/>
    </row>
    <row r="37" spans="1:18" ht="46" x14ac:dyDescent="0.35">
      <c r="A37" s="23" t="s">
        <v>55</v>
      </c>
      <c r="B37" s="31" t="s">
        <v>188</v>
      </c>
      <c r="C37" s="24"/>
      <c r="D37" s="32" t="s">
        <v>189</v>
      </c>
      <c r="E37" s="38" t="s">
        <v>190</v>
      </c>
      <c r="F37" s="33" t="s">
        <v>49</v>
      </c>
      <c r="G37" s="43"/>
      <c r="H37" s="16" t="s">
        <v>50</v>
      </c>
      <c r="I37" s="16" t="str">
        <f t="shared" si="1"/>
        <v>Operations</v>
      </c>
      <c r="J37" s="16"/>
      <c r="K37" s="45" t="s">
        <v>171</v>
      </c>
      <c r="L37" s="17"/>
      <c r="M37" s="50"/>
      <c r="N37" s="25"/>
      <c r="O37" s="25"/>
      <c r="P37" s="25"/>
      <c r="Q37" s="18"/>
      <c r="R37" s="25"/>
    </row>
    <row r="38" spans="1:18" ht="34.5" x14ac:dyDescent="0.35">
      <c r="A38" s="23" t="s">
        <v>55</v>
      </c>
      <c r="B38" s="31" t="s">
        <v>191</v>
      </c>
      <c r="C38" s="24"/>
      <c r="D38" s="32" t="s">
        <v>192</v>
      </c>
      <c r="E38" s="38" t="s">
        <v>193</v>
      </c>
      <c r="F38" s="33" t="s">
        <v>49</v>
      </c>
      <c r="G38" s="43"/>
      <c r="H38" s="16" t="s">
        <v>50</v>
      </c>
      <c r="I38" s="16" t="str">
        <f t="shared" si="1"/>
        <v>Operations</v>
      </c>
      <c r="J38" s="16"/>
      <c r="K38" s="45" t="s">
        <v>171</v>
      </c>
      <c r="L38" s="17"/>
      <c r="M38" s="50"/>
      <c r="N38" s="25"/>
      <c r="O38" s="25"/>
      <c r="P38" s="25"/>
      <c r="Q38" s="18"/>
      <c r="R38" s="25"/>
    </row>
    <row r="39" spans="1:18" ht="34.5" x14ac:dyDescent="0.35">
      <c r="A39" s="23" t="s">
        <v>55</v>
      </c>
      <c r="B39" s="31" t="s">
        <v>194</v>
      </c>
      <c r="C39" s="24"/>
      <c r="D39" s="32" t="s">
        <v>195</v>
      </c>
      <c r="E39" s="38" t="s">
        <v>196</v>
      </c>
      <c r="F39" s="33" t="s">
        <v>49</v>
      </c>
      <c r="G39" s="43"/>
      <c r="H39" s="16" t="s">
        <v>50</v>
      </c>
      <c r="I39" s="16" t="str">
        <f t="shared" si="1"/>
        <v>Operations</v>
      </c>
      <c r="J39" s="16"/>
      <c r="K39" s="45" t="s">
        <v>171</v>
      </c>
      <c r="L39" s="17"/>
      <c r="M39" s="50"/>
      <c r="N39" s="25"/>
      <c r="O39" s="25"/>
      <c r="P39" s="25"/>
      <c r="Q39" s="18"/>
      <c r="R39" s="25"/>
    </row>
    <row r="40" spans="1:18" x14ac:dyDescent="0.35">
      <c r="A40" s="23" t="s">
        <v>55</v>
      </c>
      <c r="B40" s="31"/>
      <c r="C40" s="24"/>
      <c r="D40" s="32"/>
      <c r="E40" s="38"/>
      <c r="F40" s="33"/>
      <c r="G40" s="43"/>
      <c r="H40" s="16"/>
      <c r="I40" s="16"/>
      <c r="J40" s="16"/>
      <c r="K40" s="45"/>
      <c r="L40" s="17"/>
      <c r="M40" s="50"/>
      <c r="N40" s="25"/>
      <c r="O40" s="25"/>
      <c r="P40" s="25"/>
      <c r="Q40" s="18"/>
      <c r="R40" s="25"/>
    </row>
  </sheetData>
  <autoFilter ref="A4:R31" xr:uid="{00000000-0009-0000-0000-000000000000}"/>
  <mergeCells count="2">
    <mergeCell ref="A2:R2"/>
    <mergeCell ref="H1:J1"/>
  </mergeCells>
  <phoneticPr fontId="3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selection sqref="A1:G1"/>
    </sheetView>
  </sheetViews>
  <sheetFormatPr defaultRowHeight="14.5" x14ac:dyDescent="0.35"/>
  <cols>
    <col min="1" max="1" width="30" customWidth="1"/>
    <col min="2" max="2" width="80" customWidth="1"/>
    <col min="3" max="7" width="4" customWidth="1"/>
  </cols>
  <sheetData>
    <row r="1" spans="1:7" ht="26.15" customHeight="1" x14ac:dyDescent="0.35">
      <c r="A1" s="59" t="s">
        <v>197</v>
      </c>
      <c r="B1" s="53"/>
      <c r="C1" s="53"/>
      <c r="D1" s="53"/>
      <c r="E1" s="53"/>
      <c r="F1" s="53"/>
      <c r="G1" s="53"/>
    </row>
    <row r="2" spans="1:7" ht="20.149999999999999" customHeight="1" x14ac:dyDescent="0.35">
      <c r="A2" s="60" t="s">
        <v>198</v>
      </c>
      <c r="B2" s="53"/>
      <c r="C2" s="53"/>
      <c r="D2" s="53"/>
      <c r="E2" s="53"/>
      <c r="F2" s="53"/>
      <c r="G2" s="53"/>
    </row>
    <row r="3" spans="1:7" ht="28" customHeight="1" x14ac:dyDescent="0.35">
      <c r="A3" s="29" t="s">
        <v>199</v>
      </c>
      <c r="B3" s="55" t="s">
        <v>200</v>
      </c>
      <c r="C3" s="53"/>
      <c r="D3" s="53"/>
      <c r="E3" s="53"/>
      <c r="F3" s="53"/>
      <c r="G3" s="53"/>
    </row>
    <row r="4" spans="1:7" ht="28" customHeight="1" x14ac:dyDescent="0.35">
      <c r="A4" s="29" t="s">
        <v>201</v>
      </c>
      <c r="B4" s="55" t="s">
        <v>202</v>
      </c>
      <c r="C4" s="53"/>
      <c r="D4" s="53"/>
      <c r="E4" s="53"/>
      <c r="F4" s="53"/>
      <c r="G4" s="53"/>
    </row>
    <row r="5" spans="1:7" ht="28" customHeight="1" x14ac:dyDescent="0.35">
      <c r="A5" s="29" t="s">
        <v>203</v>
      </c>
      <c r="B5" s="55" t="s">
        <v>204</v>
      </c>
      <c r="C5" s="53"/>
      <c r="D5" s="53"/>
      <c r="E5" s="53"/>
      <c r="F5" s="53"/>
      <c r="G5" s="53"/>
    </row>
    <row r="6" spans="1:7" ht="28" customHeight="1" x14ac:dyDescent="0.35">
      <c r="A6" s="29" t="s">
        <v>205</v>
      </c>
      <c r="B6" s="55" t="s">
        <v>206</v>
      </c>
      <c r="C6" s="53"/>
      <c r="D6" s="53"/>
      <c r="E6" s="53"/>
      <c r="F6" s="53"/>
      <c r="G6" s="53"/>
    </row>
    <row r="8" spans="1:7" ht="20.149999999999999" customHeight="1" x14ac:dyDescent="0.35">
      <c r="A8" s="61" t="s">
        <v>207</v>
      </c>
      <c r="B8" s="53"/>
      <c r="C8" s="53"/>
      <c r="D8" s="53"/>
      <c r="E8" s="53"/>
      <c r="F8" s="53"/>
      <c r="G8" s="53"/>
    </row>
    <row r="9" spans="1:7" ht="28" customHeight="1" x14ac:dyDescent="0.35">
      <c r="A9" s="29" t="s">
        <v>36</v>
      </c>
      <c r="B9" s="55" t="s">
        <v>208</v>
      </c>
      <c r="C9" s="53"/>
      <c r="D9" s="53"/>
      <c r="E9" s="53"/>
      <c r="F9" s="53"/>
      <c r="G9" s="53"/>
    </row>
    <row r="10" spans="1:7" ht="28" customHeight="1" x14ac:dyDescent="0.35">
      <c r="A10" s="29" t="s">
        <v>44</v>
      </c>
      <c r="B10" s="55" t="s">
        <v>209</v>
      </c>
      <c r="C10" s="53"/>
      <c r="D10" s="53"/>
      <c r="E10" s="53"/>
      <c r="F10" s="53"/>
      <c r="G10" s="53"/>
    </row>
    <row r="11" spans="1:7" ht="28" customHeight="1" x14ac:dyDescent="0.35">
      <c r="A11" s="29" t="s">
        <v>55</v>
      </c>
      <c r="B11" s="55" t="s">
        <v>210</v>
      </c>
      <c r="C11" s="53"/>
      <c r="D11" s="53"/>
      <c r="E11" s="53"/>
      <c r="F11" s="53"/>
      <c r="G11" s="53"/>
    </row>
    <row r="12" spans="1:7" ht="28" customHeight="1" x14ac:dyDescent="0.35">
      <c r="A12" s="29" t="s">
        <v>81</v>
      </c>
      <c r="B12" s="55" t="s">
        <v>211</v>
      </c>
      <c r="C12" s="53"/>
      <c r="D12" s="53"/>
      <c r="E12" s="53"/>
      <c r="F12" s="53"/>
      <c r="G12" s="53"/>
    </row>
    <row r="14" spans="1:7" ht="20.149999999999999" customHeight="1" x14ac:dyDescent="0.35">
      <c r="A14" s="58" t="s">
        <v>212</v>
      </c>
      <c r="B14" s="53"/>
      <c r="C14" s="53"/>
      <c r="D14" s="53"/>
      <c r="E14" s="53"/>
      <c r="F14" s="53"/>
      <c r="G14" s="53"/>
    </row>
    <row r="15" spans="1:7" ht="28" customHeight="1" x14ac:dyDescent="0.35">
      <c r="A15" s="29" t="s">
        <v>213</v>
      </c>
      <c r="B15" s="55" t="s">
        <v>214</v>
      </c>
      <c r="C15" s="53"/>
      <c r="D15" s="53"/>
      <c r="E15" s="53"/>
      <c r="F15" s="53"/>
      <c r="G15" s="53"/>
    </row>
    <row r="16" spans="1:7" ht="28" customHeight="1" x14ac:dyDescent="0.35">
      <c r="A16" s="29" t="s">
        <v>215</v>
      </c>
      <c r="B16" s="55" t="s">
        <v>216</v>
      </c>
      <c r="C16" s="53"/>
      <c r="D16" s="53"/>
      <c r="E16" s="53"/>
      <c r="F16" s="53"/>
      <c r="G16" s="53"/>
    </row>
    <row r="17" spans="1:7" ht="28" customHeight="1" x14ac:dyDescent="0.35">
      <c r="A17" s="29" t="s">
        <v>217</v>
      </c>
      <c r="B17" s="55" t="s">
        <v>218</v>
      </c>
      <c r="C17" s="53"/>
      <c r="D17" s="53"/>
      <c r="E17" s="53"/>
      <c r="F17" s="53"/>
      <c r="G17" s="53"/>
    </row>
    <row r="18" spans="1:7" ht="28" customHeight="1" x14ac:dyDescent="0.35">
      <c r="A18" s="29" t="s">
        <v>219</v>
      </c>
      <c r="B18" s="55" t="s">
        <v>220</v>
      </c>
      <c r="C18" s="53"/>
      <c r="D18" s="53"/>
      <c r="E18" s="53"/>
      <c r="F18" s="53"/>
      <c r="G18" s="53"/>
    </row>
    <row r="19" spans="1:7" ht="28" customHeight="1" x14ac:dyDescent="0.35">
      <c r="A19" s="29" t="s">
        <v>221</v>
      </c>
      <c r="B19" s="55" t="s">
        <v>222</v>
      </c>
      <c r="C19" s="53"/>
      <c r="D19" s="53"/>
      <c r="E19" s="53"/>
      <c r="F19" s="53"/>
      <c r="G19" s="53"/>
    </row>
    <row r="20" spans="1:7" ht="28" customHeight="1" x14ac:dyDescent="0.35">
      <c r="A20" s="29" t="s">
        <v>223</v>
      </c>
      <c r="B20" s="55" t="s">
        <v>224</v>
      </c>
      <c r="C20" s="53"/>
      <c r="D20" s="53"/>
      <c r="E20" s="53"/>
      <c r="F20" s="53"/>
      <c r="G20" s="53"/>
    </row>
    <row r="21" spans="1:7" ht="28" customHeight="1" x14ac:dyDescent="0.35">
      <c r="A21" s="29" t="s">
        <v>225</v>
      </c>
      <c r="B21" s="55" t="s">
        <v>226</v>
      </c>
      <c r="C21" s="53"/>
      <c r="D21" s="53"/>
      <c r="E21" s="53"/>
      <c r="F21" s="53"/>
      <c r="G21" s="53"/>
    </row>
    <row r="22" spans="1:7" ht="28" customHeight="1" x14ac:dyDescent="0.35">
      <c r="A22" s="29" t="s">
        <v>227</v>
      </c>
      <c r="B22" s="55" t="s">
        <v>228</v>
      </c>
      <c r="C22" s="53"/>
      <c r="D22" s="53"/>
      <c r="E22" s="53"/>
      <c r="F22" s="53"/>
      <c r="G22" s="53"/>
    </row>
    <row r="23" spans="1:7" ht="28" customHeight="1" x14ac:dyDescent="0.35">
      <c r="A23" s="29" t="s">
        <v>229</v>
      </c>
      <c r="B23" s="55" t="s">
        <v>230</v>
      </c>
      <c r="C23" s="53"/>
      <c r="D23" s="53"/>
      <c r="E23" s="53"/>
      <c r="F23" s="53"/>
      <c r="G23" s="53"/>
    </row>
    <row r="24" spans="1:7" ht="28" customHeight="1" x14ac:dyDescent="0.35">
      <c r="A24" s="29" t="s">
        <v>231</v>
      </c>
      <c r="B24" s="55" t="s">
        <v>232</v>
      </c>
      <c r="C24" s="53"/>
      <c r="D24" s="53"/>
      <c r="E24" s="53"/>
      <c r="F24" s="53"/>
      <c r="G24" s="53"/>
    </row>
    <row r="25" spans="1:7" ht="28" customHeight="1" x14ac:dyDescent="0.35">
      <c r="A25" s="29" t="s">
        <v>233</v>
      </c>
      <c r="B25" s="55" t="s">
        <v>234</v>
      </c>
      <c r="C25" s="53"/>
      <c r="D25" s="53"/>
      <c r="E25" s="53"/>
      <c r="F25" s="53"/>
      <c r="G25" s="53"/>
    </row>
    <row r="26" spans="1:7" ht="28" customHeight="1" x14ac:dyDescent="0.35">
      <c r="A26" s="29" t="s">
        <v>235</v>
      </c>
      <c r="B26" s="55" t="s">
        <v>236</v>
      </c>
      <c r="C26" s="53"/>
      <c r="D26" s="53"/>
      <c r="E26" s="53"/>
      <c r="F26" s="53"/>
      <c r="G26" s="53"/>
    </row>
    <row r="27" spans="1:7" ht="28" customHeight="1" x14ac:dyDescent="0.35">
      <c r="A27" s="29" t="s">
        <v>237</v>
      </c>
      <c r="B27" s="55" t="s">
        <v>238</v>
      </c>
      <c r="C27" s="53"/>
      <c r="D27" s="53"/>
      <c r="E27" s="53"/>
      <c r="F27" s="53"/>
      <c r="G27" s="53"/>
    </row>
    <row r="28" spans="1:7" ht="28" customHeight="1" x14ac:dyDescent="0.35">
      <c r="A28" s="29" t="s">
        <v>239</v>
      </c>
      <c r="B28" s="55" t="s">
        <v>240</v>
      </c>
      <c r="C28" s="53"/>
      <c r="D28" s="53"/>
      <c r="E28" s="53"/>
      <c r="F28" s="53"/>
      <c r="G28" s="53"/>
    </row>
    <row r="29" spans="1:7" ht="28" customHeight="1" x14ac:dyDescent="0.35">
      <c r="A29" s="29" t="s">
        <v>241</v>
      </c>
      <c r="B29" s="55" t="s">
        <v>242</v>
      </c>
      <c r="C29" s="53"/>
      <c r="D29" s="53"/>
      <c r="E29" s="53"/>
      <c r="F29" s="53"/>
      <c r="G29" s="53"/>
    </row>
    <row r="30" spans="1:7" ht="28" customHeight="1" x14ac:dyDescent="0.35">
      <c r="A30" s="29" t="s">
        <v>243</v>
      </c>
      <c r="B30" s="55" t="s">
        <v>244</v>
      </c>
      <c r="C30" s="53"/>
      <c r="D30" s="53"/>
      <c r="E30" s="53"/>
      <c r="F30" s="53"/>
      <c r="G30" s="53"/>
    </row>
    <row r="32" spans="1:7" ht="20.149999999999999" customHeight="1" x14ac:dyDescent="0.35">
      <c r="A32" s="57" t="s">
        <v>245</v>
      </c>
      <c r="B32" s="53"/>
      <c r="C32" s="53"/>
      <c r="D32" s="53"/>
      <c r="E32" s="53"/>
      <c r="F32" s="53"/>
      <c r="G32" s="53"/>
    </row>
    <row r="33" spans="1:7" ht="28" customHeight="1" x14ac:dyDescent="0.35">
      <c r="A33" s="29" t="s">
        <v>41</v>
      </c>
      <c r="B33" s="55" t="s">
        <v>246</v>
      </c>
      <c r="C33" s="53"/>
      <c r="D33" s="53"/>
      <c r="E33" s="53"/>
      <c r="F33" s="53"/>
      <c r="G33" s="53"/>
    </row>
    <row r="34" spans="1:7" ht="28" customHeight="1" x14ac:dyDescent="0.35">
      <c r="A34" s="29" t="s">
        <v>247</v>
      </c>
      <c r="B34" s="55" t="s">
        <v>248</v>
      </c>
      <c r="C34" s="53"/>
      <c r="D34" s="53"/>
      <c r="E34" s="53"/>
      <c r="F34" s="53"/>
      <c r="G34" s="53"/>
    </row>
    <row r="35" spans="1:7" ht="28" customHeight="1" x14ac:dyDescent="0.35">
      <c r="A35" s="29" t="s">
        <v>49</v>
      </c>
      <c r="B35" s="55" t="s">
        <v>249</v>
      </c>
      <c r="C35" s="53"/>
      <c r="D35" s="53"/>
      <c r="E35" s="53"/>
      <c r="F35" s="53"/>
      <c r="G35" s="53"/>
    </row>
    <row r="36" spans="1:7" ht="28" customHeight="1" x14ac:dyDescent="0.35">
      <c r="A36" s="29" t="s">
        <v>97</v>
      </c>
      <c r="B36" s="55" t="s">
        <v>250</v>
      </c>
      <c r="C36" s="53"/>
      <c r="D36" s="53"/>
      <c r="E36" s="53"/>
      <c r="F36" s="53"/>
      <c r="G36" s="53"/>
    </row>
    <row r="37" spans="1:7" ht="28" customHeight="1" x14ac:dyDescent="0.35">
      <c r="A37" s="29" t="s">
        <v>251</v>
      </c>
      <c r="B37" s="55" t="s">
        <v>252</v>
      </c>
      <c r="C37" s="53"/>
      <c r="D37" s="53"/>
      <c r="E37" s="53"/>
      <c r="F37" s="53"/>
      <c r="G37" s="53"/>
    </row>
    <row r="39" spans="1:7" ht="20.149999999999999" customHeight="1" x14ac:dyDescent="0.35">
      <c r="A39" s="56" t="s">
        <v>253</v>
      </c>
      <c r="B39" s="53"/>
      <c r="C39" s="53"/>
      <c r="D39" s="53"/>
      <c r="E39" s="53"/>
      <c r="F39" s="53"/>
      <c r="G39" s="53"/>
    </row>
    <row r="40" spans="1:7" ht="28" customHeight="1" x14ac:dyDescent="0.35">
      <c r="A40" s="29" t="s">
        <v>254</v>
      </c>
      <c r="B40" s="55" t="s">
        <v>255</v>
      </c>
      <c r="C40" s="53"/>
      <c r="D40" s="53"/>
      <c r="E40" s="53"/>
      <c r="F40" s="53"/>
      <c r="G40" s="53"/>
    </row>
    <row r="41" spans="1:7" ht="28" customHeight="1" x14ac:dyDescent="0.35">
      <c r="A41" s="29" t="s">
        <v>256</v>
      </c>
      <c r="B41" s="55" t="s">
        <v>257</v>
      </c>
      <c r="C41" s="53"/>
      <c r="D41" s="53"/>
      <c r="E41" s="53"/>
      <c r="F41" s="53"/>
      <c r="G41" s="53"/>
    </row>
    <row r="42" spans="1:7" ht="28" customHeight="1" x14ac:dyDescent="0.35">
      <c r="A42" s="29" t="s">
        <v>258</v>
      </c>
      <c r="B42" s="55" t="s">
        <v>259</v>
      </c>
      <c r="C42" s="53"/>
      <c r="D42" s="53"/>
      <c r="E42" s="53"/>
      <c r="F42" s="53"/>
      <c r="G42" s="53"/>
    </row>
    <row r="43" spans="1:7" ht="28" customHeight="1" x14ac:dyDescent="0.35">
      <c r="A43" s="29" t="s">
        <v>260</v>
      </c>
      <c r="B43" s="55" t="s">
        <v>261</v>
      </c>
      <c r="C43" s="53"/>
      <c r="D43" s="53"/>
      <c r="E43" s="53"/>
      <c r="F43" s="53"/>
      <c r="G43" s="53"/>
    </row>
    <row r="44" spans="1:7" ht="28" customHeight="1" x14ac:dyDescent="0.35">
      <c r="A44" s="29" t="s">
        <v>262</v>
      </c>
      <c r="B44" s="55" t="s">
        <v>263</v>
      </c>
      <c r="C44" s="53"/>
      <c r="D44" s="53"/>
      <c r="E44" s="53"/>
      <c r="F44" s="53"/>
      <c r="G44" s="53"/>
    </row>
    <row r="45" spans="1:7" ht="28" customHeight="1" x14ac:dyDescent="0.35">
      <c r="A45" s="29" t="s">
        <v>264</v>
      </c>
      <c r="B45" s="55" t="s">
        <v>265</v>
      </c>
      <c r="C45" s="53"/>
      <c r="D45" s="53"/>
      <c r="E45" s="53"/>
      <c r="F45" s="53"/>
      <c r="G45" s="53"/>
    </row>
  </sheetData>
  <mergeCells count="41">
    <mergeCell ref="B23:G23"/>
    <mergeCell ref="B9:G9"/>
    <mergeCell ref="B45:G45"/>
    <mergeCell ref="B41:G41"/>
    <mergeCell ref="B35:G35"/>
    <mergeCell ref="B26:G26"/>
    <mergeCell ref="B25:G25"/>
    <mergeCell ref="B16:G16"/>
    <mergeCell ref="B22:G22"/>
    <mergeCell ref="B27:G27"/>
    <mergeCell ref="B43:G43"/>
    <mergeCell ref="B12:G12"/>
    <mergeCell ref="B18:G18"/>
    <mergeCell ref="B21:G21"/>
    <mergeCell ref="B11:G11"/>
    <mergeCell ref="B24:G24"/>
    <mergeCell ref="B20:G20"/>
    <mergeCell ref="A1:G1"/>
    <mergeCell ref="B5:G5"/>
    <mergeCell ref="B3:G3"/>
    <mergeCell ref="A2:G2"/>
    <mergeCell ref="A8:G8"/>
    <mergeCell ref="B17:G17"/>
    <mergeCell ref="B4:G4"/>
    <mergeCell ref="B6:G6"/>
    <mergeCell ref="B44:G44"/>
    <mergeCell ref="B29:G29"/>
    <mergeCell ref="B19:G19"/>
    <mergeCell ref="B34:G34"/>
    <mergeCell ref="B10:G10"/>
    <mergeCell ref="B28:G28"/>
    <mergeCell ref="B37:G37"/>
    <mergeCell ref="A39:G39"/>
    <mergeCell ref="B40:G40"/>
    <mergeCell ref="B30:G30"/>
    <mergeCell ref="B15:G15"/>
    <mergeCell ref="B33:G33"/>
    <mergeCell ref="B36:G36"/>
    <mergeCell ref="A32:G32"/>
    <mergeCell ref="A14:G14"/>
    <mergeCell ref="B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Process Flow Data</vt:lpstr>
      <vt:lpstr>Instructions &amp; 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Dutta, Nilanjan</cp:lastModifiedBy>
  <cp:revision/>
  <dcterms:created xsi:type="dcterms:W3CDTF">2026-04-14T09:57:42Z</dcterms:created>
  <dcterms:modified xsi:type="dcterms:W3CDTF">2026-04-17T09:50:23Z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2026-04-14T11:36:01Z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57946486-3283-4f5c-ab64-75070a55b5db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